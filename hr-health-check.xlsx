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R Health Check" sheetId="1" state="visible" r:id="rId1"/>
    <sheet xmlns:r="http://schemas.openxmlformats.org/officeDocument/2006/relationships" name="Dashboard &amp; Report" sheetId="2" state="visible" r:id="rId2"/>
    <sheet xmlns:r="http://schemas.openxmlformats.org/officeDocument/2006/relationships" name="Action Roadmap" sheetId="3" state="visible" r:id="rId3"/>
    <sheet xmlns:r="http://schemas.openxmlformats.org/officeDocument/2006/relationships" name="FAS Perspective &amp; Suppor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6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E0E6ED"/>
      <sz val="11"/>
    </font>
    <font>
      <name val="Calibri"/>
      <b val="1"/>
      <color rgb="001B365D"/>
      <sz val="10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color rgb="00333333"/>
      <sz val="11"/>
    </font>
    <font>
      <name val="Calibri"/>
      <color rgb="00333333"/>
      <sz val="11"/>
    </font>
    <font>
      <name val="Calibri"/>
      <b val="1"/>
      <color rgb="001B365D"/>
      <sz val="11"/>
    </font>
    <font>
      <name val="Calibri"/>
      <b val="1"/>
      <color rgb="001B365D"/>
      <sz val="12"/>
    </font>
    <font>
      <name val="Calibri"/>
      <b val="1"/>
      <color rgb="00FFFFFF"/>
      <sz val="10"/>
    </font>
    <font>
      <name val="Calibri"/>
      <b val="1"/>
      <color rgb="001B365D"/>
      <sz val="22"/>
    </font>
    <font>
      <name val="Calibri"/>
      <b val="1"/>
      <color rgb="00008080"/>
      <sz val="16"/>
    </font>
    <font>
      <name val="Calibri"/>
      <b val="1"/>
      <color rgb="001B365D"/>
      <sz val="14"/>
    </font>
    <font>
      <name val="Calibri"/>
      <i val="1"/>
      <color rgb="00666666"/>
      <sz val="10"/>
    </font>
    <font>
      <name val="Calibri"/>
      <i val="1"/>
      <color rgb="001B365D"/>
      <sz val="12"/>
    </font>
  </fonts>
  <fills count="11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E8EEF5"/>
        <bgColor rgb="00E8EEF5"/>
      </patternFill>
    </fill>
    <fill>
      <patternFill patternType="solid">
        <fgColor rgb="002C4D75"/>
        <bgColor rgb="002C4D75"/>
      </patternFill>
    </fill>
    <fill>
      <patternFill patternType="solid">
        <fgColor rgb="003B5998"/>
        <bgColor rgb="003B5998"/>
      </patternFill>
    </fill>
    <fill>
      <patternFill patternType="solid">
        <fgColor rgb="00F4F6F9"/>
        <bgColor rgb="00F4F6F9"/>
      </patternFill>
    </fill>
    <fill>
      <patternFill patternType="solid">
        <fgColor rgb="00EAECEE"/>
        <bgColor rgb="00EAECEE"/>
      </patternFill>
    </fill>
    <fill>
      <patternFill patternType="solid">
        <fgColor rgb="00D5D8DC"/>
        <bgColor rgb="00D5D8DC"/>
      </patternFill>
    </fill>
    <fill>
      <patternFill patternType="solid">
        <fgColor rgb="002C3E50"/>
        <bgColor rgb="002C3E50"/>
      </patternFill>
    </fill>
    <fill>
      <patternFill patternType="solid">
        <fgColor rgb="00F2F4F4"/>
        <bgColor rgb="00F2F4F4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double">
        <color rgb="001B365D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left" vertical="center" inden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0" fillId="7" borderId="2" pivotButton="0" quotePrefix="0" xfId="0"/>
    <xf numFmtId="0" fontId="6" fillId="7" borderId="2" applyAlignment="1" pivotButton="0" quotePrefix="0" xfId="0">
      <alignment horizontal="right" vertical="center"/>
    </xf>
    <xf numFmtId="0" fontId="6" fillId="7" borderId="2" applyAlignment="1" pivotButton="0" quotePrefix="0" xfId="0">
      <alignment horizontal="center" vertical="center" wrapText="1"/>
    </xf>
    <xf numFmtId="164" fontId="6" fillId="7" borderId="2" applyAlignment="1" pivotButton="0" quotePrefix="0" xfId="0">
      <alignment horizontal="center" vertical="center" wrapText="1"/>
    </xf>
    <xf numFmtId="0" fontId="8" fillId="8" borderId="2" applyAlignment="1" pivotButton="0" quotePrefix="0" xfId="0">
      <alignment horizontal="right" vertical="center"/>
    </xf>
    <xf numFmtId="0" fontId="0" fillId="8" borderId="2" pivotButton="0" quotePrefix="0" xfId="0"/>
    <xf numFmtId="0" fontId="9" fillId="8" borderId="2" applyAlignment="1" pivotButton="0" quotePrefix="0" xfId="0">
      <alignment horizontal="center" vertical="center" wrapText="1"/>
    </xf>
    <xf numFmtId="164" fontId="9" fillId="8" borderId="2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11" fillId="10" borderId="1" applyAlignment="1" pivotButton="0" quotePrefix="0" xfId="0">
      <alignment horizontal="center" vertical="center" wrapText="1"/>
    </xf>
    <xf numFmtId="0" fontId="12" fillId="10" borderId="1" applyAlignment="1" pivotButton="0" quotePrefix="0" xfId="0">
      <alignment horizontal="center" vertical="center" wrapText="1"/>
    </xf>
    <xf numFmtId="164" fontId="11" fillId="10" borderId="1" applyAlignment="1" pivotButton="0" quotePrefix="0" xfId="0">
      <alignment horizontal="center" vertical="center" wrapText="1"/>
    </xf>
    <xf numFmtId="0" fontId="13" fillId="0" borderId="0" pivotButton="0" quotePrefix="0" xfId="0"/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164" fontId="7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vertical="center" wrapText="1"/>
    </xf>
    <xf numFmtId="164" fontId="7" fillId="6" borderId="1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left" vertical="center" wrapText="1"/>
    </xf>
    <xf numFmtId="0" fontId="5" fillId="5" borderId="1" pivotButton="0" quotePrefix="0" xfId="0"/>
    <xf numFmtId="0" fontId="14" fillId="6" borderId="1" applyAlignment="1" pivotButton="0" quotePrefix="0" xfId="0">
      <alignment horizontal="left" vertical="center" wrapText="1"/>
    </xf>
    <xf numFmtId="0" fontId="7" fillId="6" borderId="1" pivotButton="0" quotePrefix="0" xfId="0"/>
    <xf numFmtId="0" fontId="14" fillId="0" borderId="1" applyAlignment="1" pivotButton="0" quotePrefix="0" xfId="0">
      <alignment horizontal="left" vertical="center" wrapText="1"/>
    </xf>
    <xf numFmtId="0" fontId="7" fillId="0" borderId="1" pivotButton="0" quotePrefix="0" xfId="0"/>
    <xf numFmtId="0" fontId="7" fillId="6" borderId="1" applyAlignment="1" pivotButton="0" quotePrefix="0" xfId="0">
      <alignment vertical="center" wrapText="1"/>
    </xf>
    <xf numFmtId="0" fontId="15" fillId="3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HR Health Score by Section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 &amp; Report'!C8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 &amp; Report'!$A$9:$A$16</f>
            </numRef>
          </cat>
          <val>
            <numRef>
              <f>'Dashboard &amp; Report'!$C$9:$C$16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HR Function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Score (Max 40)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17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75" customWidth="1" min="2" max="2"/>
    <col width="15" customWidth="1" min="3" max="3"/>
    <col width="10" customWidth="1" min="4" max="4"/>
    <col width="20" customWidth="1" min="5" max="5"/>
  </cols>
  <sheetData>
    <row r="1" ht="35" customHeight="1">
      <c r="A1" s="1" t="inlineStr">
        <is>
          <t>HR HEALTH CHECK - SELF-ASSESSMENT TOOL</t>
        </is>
      </c>
    </row>
    <row r="2" ht="20" customHeight="1">
      <c r="A2" s="2" t="inlineStr">
        <is>
          <t>Evaluate the effectiveness, consistency, and governance of your HR function | Forisa Abadijaya Sejahtera</t>
        </is>
      </c>
    </row>
    <row r="4" ht="24" customHeight="1">
      <c r="A4" s="3" t="inlineStr">
        <is>
          <t>SCORING GUIDE: 1 = Not in place | 2 = Partially in place | 3 = In place, needs improvement | 4 = Well implemented | 5 = Mature &amp; continuously improved</t>
        </is>
      </c>
    </row>
    <row r="6" ht="24" customHeight="1">
      <c r="A6" s="4" t="inlineStr">
        <is>
          <t>01. ORGANIZATION &amp; HR GOVERNANCE</t>
        </is>
      </c>
    </row>
    <row r="7" ht="20" customHeight="1">
      <c r="A7" s="5" t="inlineStr">
        <is>
          <t>#</t>
        </is>
      </c>
      <c r="B7" s="6" t="inlineStr">
        <is>
          <t>Assessment Statement</t>
        </is>
      </c>
      <c r="C7" s="5" t="inlineStr">
        <is>
          <t>Score (1-5)</t>
        </is>
      </c>
      <c r="D7" s="5" t="inlineStr">
        <is>
          <t>Max</t>
        </is>
      </c>
      <c r="E7" s="6" t="inlineStr">
        <is>
          <t>Status / Notes</t>
        </is>
      </c>
    </row>
    <row r="8" ht="20" customHeight="1">
      <c r="A8" s="7" t="n">
        <v>1</v>
      </c>
      <c r="B8" s="8" t="inlineStr">
        <is>
          <t>Organizational structure and reporting lines are clearly defined.</t>
        </is>
      </c>
      <c r="C8" s="9" t="n">
        <v>4</v>
      </c>
      <c r="D8" s="7" t="n">
        <v>5</v>
      </c>
      <c r="E8" s="7">
        <f>IF(C8&gt;=4,"Strong",IF(C8&gt;=3,"Moderate","Needs Focus"))</f>
        <v/>
      </c>
    </row>
    <row r="9" ht="20" customHeight="1">
      <c r="A9" s="10" t="n">
        <v>2</v>
      </c>
      <c r="B9" s="11" t="inlineStr">
        <is>
          <t>Every position has clearly defined responsibilities and authority.</t>
        </is>
      </c>
      <c r="C9" s="12" t="n">
        <v>4</v>
      </c>
      <c r="D9" s="10" t="n">
        <v>5</v>
      </c>
      <c r="E9" s="10">
        <f>IF(C9&gt;=4,"Strong",IF(C9&gt;=3,"Moderate","Needs Focus"))</f>
        <v/>
      </c>
    </row>
    <row r="10" ht="20" customHeight="1">
      <c r="A10" s="7" t="n">
        <v>3</v>
      </c>
      <c r="B10" s="8" t="inlineStr">
        <is>
          <t>There is no significant overlap or gap in responsibilities between positions.</t>
        </is>
      </c>
      <c r="C10" s="9" t="n">
        <v>2</v>
      </c>
      <c r="D10" s="7" t="n">
        <v>5</v>
      </c>
      <c r="E10" s="7">
        <f>IF(C10&gt;=4,"Strong",IF(C10&gt;=3,"Moderate","Needs Focus"))</f>
        <v/>
      </c>
    </row>
    <row r="11" ht="20" customHeight="1">
      <c r="A11" s="10" t="n">
        <v>4</v>
      </c>
      <c r="B11" s="11" t="inlineStr">
        <is>
          <t>Management has clearly defined who can make which decisions.</t>
        </is>
      </c>
      <c r="C11" s="12" t="n">
        <v>4</v>
      </c>
      <c r="D11" s="10" t="n">
        <v>5</v>
      </c>
      <c r="E11" s="10">
        <f>IF(C11&gt;=4,"Strong",IF(C11&gt;=3,"Moderate","Needs Focus"))</f>
        <v/>
      </c>
    </row>
    <row r="12" ht="20" customHeight="1">
      <c r="A12" s="7" t="n">
        <v>5</v>
      </c>
      <c r="B12" s="8" t="inlineStr">
        <is>
          <t>HR policies are formally documented and communicated to employees.</t>
        </is>
      </c>
      <c r="C12" s="9" t="n">
        <v>4</v>
      </c>
      <c r="D12" s="7" t="n">
        <v>5</v>
      </c>
      <c r="E12" s="7">
        <f>IF(C12&gt;=4,"Strong",IF(C12&gt;=3,"Moderate","Needs Focus"))</f>
        <v/>
      </c>
    </row>
    <row r="13" ht="20" customHeight="1">
      <c r="A13" s="10" t="n">
        <v>6</v>
      </c>
      <c r="B13" s="11" t="inlineStr">
        <is>
          <t>HR decisions are based on consistent policies rather than individual preferences.</t>
        </is>
      </c>
      <c r="C13" s="12" t="n">
        <v>2</v>
      </c>
      <c r="D13" s="10" t="n">
        <v>5</v>
      </c>
      <c r="E13" s="10">
        <f>IF(C13&gt;=4,"Strong",IF(C13&gt;=3,"Moderate","Needs Focus"))</f>
        <v/>
      </c>
    </row>
    <row r="14" ht="20" customHeight="1">
      <c r="A14" s="7" t="n">
        <v>7</v>
      </c>
      <c r="B14" s="8" t="inlineStr">
        <is>
          <t>There is a clear escalation mechanism for employee and management issues.</t>
        </is>
      </c>
      <c r="C14" s="9" t="n">
        <v>4</v>
      </c>
      <c r="D14" s="7" t="n">
        <v>5</v>
      </c>
      <c r="E14" s="7">
        <f>IF(C14&gt;=4,"Strong",IF(C14&gt;=3,"Moderate","Needs Focus"))</f>
        <v/>
      </c>
    </row>
    <row r="15" ht="20" customHeight="1">
      <c r="A15" s="10" t="n">
        <v>8</v>
      </c>
      <c r="B15" s="11" t="inlineStr">
        <is>
          <t>HR information is properly documented and accessible to authorized management.</t>
        </is>
      </c>
      <c r="C15" s="12" t="n">
        <v>4</v>
      </c>
      <c r="D15" s="10" t="n">
        <v>5</v>
      </c>
      <c r="E15" s="10">
        <f>IF(C15&gt;=4,"Strong",IF(C15&gt;=3,"Moderate","Needs Focus"))</f>
        <v/>
      </c>
    </row>
    <row r="16" ht="22" customHeight="1">
      <c r="A16" s="13" t="n"/>
      <c r="B16" s="14" t="inlineStr">
        <is>
          <t>SECTION TOTAL</t>
        </is>
      </c>
      <c r="C16" s="15">
        <f>SUM(C8:C15)</f>
        <v/>
      </c>
      <c r="D16" s="15">
        <f>SUM(D8:D15)</f>
        <v/>
      </c>
      <c r="E16" s="16">
        <f>C16/D16</f>
        <v/>
      </c>
    </row>
    <row r="18" ht="24" customHeight="1">
      <c r="A18" s="4" t="inlineStr">
        <is>
          <t>02. WORKFORCE PLANNING</t>
        </is>
      </c>
    </row>
    <row r="19" ht="20" customHeight="1">
      <c r="A19" s="5" t="inlineStr">
        <is>
          <t>#</t>
        </is>
      </c>
      <c r="B19" s="6" t="inlineStr">
        <is>
          <t>Assessment Statement</t>
        </is>
      </c>
      <c r="C19" s="5" t="inlineStr">
        <is>
          <t>Score (1-5)</t>
        </is>
      </c>
      <c r="D19" s="5" t="inlineStr">
        <is>
          <t>Max</t>
        </is>
      </c>
      <c r="E19" s="6" t="inlineStr">
        <is>
          <t>Status / Notes</t>
        </is>
      </c>
    </row>
    <row r="20" ht="20" customHeight="1">
      <c r="A20" s="7" t="n">
        <v>9</v>
      </c>
      <c r="B20" s="8" t="inlineStr">
        <is>
          <t>The organization knows how many employees are required for each function.</t>
        </is>
      </c>
      <c r="C20" s="9" t="n">
        <v>2</v>
      </c>
      <c r="D20" s="7" t="n">
        <v>5</v>
      </c>
      <c r="E20" s="7">
        <f>IF(C20&gt;=4,"Strong",IF(C20&gt;=3,"Moderate","Needs Focus"))</f>
        <v/>
      </c>
    </row>
    <row r="21" ht="20" customHeight="1">
      <c r="A21" s="10" t="n">
        <v>10</v>
      </c>
      <c r="B21" s="11" t="inlineStr">
        <is>
          <t>Manpower requirements are linked to business targets and workload.</t>
        </is>
      </c>
      <c r="C21" s="12" t="n">
        <v>4</v>
      </c>
      <c r="D21" s="10" t="n">
        <v>5</v>
      </c>
      <c r="E21" s="10">
        <f>IF(C21&gt;=4,"Strong",IF(C21&gt;=3,"Moderate","Needs Focus"))</f>
        <v/>
      </c>
    </row>
    <row r="22" ht="20" customHeight="1">
      <c r="A22" s="7" t="n">
        <v>11</v>
      </c>
      <c r="B22" s="8" t="inlineStr">
        <is>
          <t>The organization regularly reviews manpower productivity.</t>
        </is>
      </c>
      <c r="C22" s="9" t="n">
        <v>4</v>
      </c>
      <c r="D22" s="7" t="n">
        <v>5</v>
      </c>
      <c r="E22" s="7">
        <f>IF(C22&gt;=4,"Strong",IF(C22&gt;=3,"Moderate","Needs Focus"))</f>
        <v/>
      </c>
    </row>
    <row r="23" ht="20" customHeight="1">
      <c r="A23" s="10" t="n">
        <v>12</v>
      </c>
      <c r="B23" s="11" t="inlineStr">
        <is>
          <t>Critical positions have identified backup or succession plans.</t>
        </is>
      </c>
      <c r="C23" s="12" t="n">
        <v>2</v>
      </c>
      <c r="D23" s="10" t="n">
        <v>5</v>
      </c>
      <c r="E23" s="10">
        <f>IF(C23&gt;=4,"Strong",IF(C23&gt;=3,"Moderate","Needs Focus"))</f>
        <v/>
      </c>
    </row>
    <row r="24" ht="20" customHeight="1">
      <c r="A24" s="7" t="n">
        <v>13</v>
      </c>
      <c r="B24" s="8" t="inlineStr">
        <is>
          <t>Employee turnover is monitored and analyzed.</t>
        </is>
      </c>
      <c r="C24" s="9" t="n">
        <v>4</v>
      </c>
      <c r="D24" s="7" t="n">
        <v>5</v>
      </c>
      <c r="E24" s="7">
        <f>IF(C24&gt;=4,"Strong",IF(C24&gt;=3,"Moderate","Needs Focus"))</f>
        <v/>
      </c>
    </row>
    <row r="25" ht="20" customHeight="1">
      <c r="A25" s="10" t="n">
        <v>14</v>
      </c>
      <c r="B25" s="11" t="inlineStr">
        <is>
          <t>Absenteeism and attendance patterns are regularly reviewed.</t>
        </is>
      </c>
      <c r="C25" s="12" t="n">
        <v>4</v>
      </c>
      <c r="D25" s="10" t="n">
        <v>5</v>
      </c>
      <c r="E25" s="10">
        <f>IF(C25&gt;=4,"Strong",IF(C25&gt;=3,"Moderate","Needs Focus"))</f>
        <v/>
      </c>
    </row>
    <row r="26" ht="20" customHeight="1">
      <c r="A26" s="7" t="n">
        <v>15</v>
      </c>
      <c r="B26" s="8" t="inlineStr">
        <is>
          <t>Workforce costs are monitored against business performance.</t>
        </is>
      </c>
      <c r="C26" s="9" t="n">
        <v>2</v>
      </c>
      <c r="D26" s="7" t="n">
        <v>5</v>
      </c>
      <c r="E26" s="7">
        <f>IF(C26&gt;=4,"Strong",IF(C26&gt;=3,"Moderate","Needs Focus"))</f>
        <v/>
      </c>
    </row>
    <row r="27" ht="20" customHeight="1">
      <c r="A27" s="10" t="n">
        <v>16</v>
      </c>
      <c r="B27" s="11" t="inlineStr">
        <is>
          <t>Management has reliable data to support manpower decisions.</t>
        </is>
      </c>
      <c r="C27" s="12" t="n">
        <v>4</v>
      </c>
      <c r="D27" s="10" t="n">
        <v>5</v>
      </c>
      <c r="E27" s="10">
        <f>IF(C27&gt;=4,"Strong",IF(C27&gt;=3,"Moderate","Needs Focus"))</f>
        <v/>
      </c>
    </row>
    <row r="28" ht="22" customHeight="1">
      <c r="A28" s="13" t="n"/>
      <c r="B28" s="14" t="inlineStr">
        <is>
          <t>SECTION TOTAL</t>
        </is>
      </c>
      <c r="C28" s="15">
        <f>SUM(C20:C27)</f>
        <v/>
      </c>
      <c r="D28" s="15">
        <f>SUM(D20:D27)</f>
        <v/>
      </c>
      <c r="E28" s="16">
        <f>C28/D28</f>
        <v/>
      </c>
    </row>
    <row r="30" ht="24" customHeight="1">
      <c r="A30" s="4" t="inlineStr">
        <is>
          <t>03. RECRUITMENT &amp; SELECTION</t>
        </is>
      </c>
    </row>
    <row r="31" ht="20" customHeight="1">
      <c r="A31" s="5" t="inlineStr">
        <is>
          <t>#</t>
        </is>
      </c>
      <c r="B31" s="6" t="inlineStr">
        <is>
          <t>Assessment Statement</t>
        </is>
      </c>
      <c r="C31" s="5" t="inlineStr">
        <is>
          <t>Score (1-5)</t>
        </is>
      </c>
      <c r="D31" s="5" t="inlineStr">
        <is>
          <t>Max</t>
        </is>
      </c>
      <c r="E31" s="6" t="inlineStr">
        <is>
          <t>Status / Notes</t>
        </is>
      </c>
    </row>
    <row r="32" ht="20" customHeight="1">
      <c r="A32" s="7" t="n">
        <v>17</v>
      </c>
      <c r="B32" s="8" t="inlineStr">
        <is>
          <t>Each position has clearly defined job requirements.</t>
        </is>
      </c>
      <c r="C32" s="9" t="n">
        <v>4</v>
      </c>
      <c r="D32" s="7" t="n">
        <v>5</v>
      </c>
      <c r="E32" s="7">
        <f>IF(C32&gt;=4,"Strong",IF(C32&gt;=3,"Moderate","Needs Focus"))</f>
        <v/>
      </c>
    </row>
    <row r="33" ht="20" customHeight="1">
      <c r="A33" s="10" t="n">
        <v>18</v>
      </c>
      <c r="B33" s="11" t="inlineStr">
        <is>
          <t>Recruitment criteria are based on actual job requirements.</t>
        </is>
      </c>
      <c r="C33" s="12" t="n">
        <v>2</v>
      </c>
      <c r="D33" s="10" t="n">
        <v>5</v>
      </c>
      <c r="E33" s="10">
        <f>IF(C33&gt;=4,"Strong",IF(C33&gt;=3,"Moderate","Needs Focus"))</f>
        <v/>
      </c>
    </row>
    <row r="34" ht="20" customHeight="1">
      <c r="A34" s="7" t="n">
        <v>19</v>
      </c>
      <c r="B34" s="8" t="inlineStr">
        <is>
          <t>Candidates are assessed using a consistent selection process.</t>
        </is>
      </c>
      <c r="C34" s="9" t="n">
        <v>4</v>
      </c>
      <c r="D34" s="7" t="n">
        <v>5</v>
      </c>
      <c r="E34" s="7">
        <f>IF(C34&gt;=4,"Strong",IF(C34&gt;=3,"Moderate","Needs Focus"))</f>
        <v/>
      </c>
    </row>
    <row r="35" ht="20" customHeight="1">
      <c r="A35" s="10" t="n">
        <v>20</v>
      </c>
      <c r="B35" s="11" t="inlineStr">
        <is>
          <t>Interviews evaluate both technical capability and behavioral fit.</t>
        </is>
      </c>
      <c r="C35" s="12" t="n">
        <v>4</v>
      </c>
      <c r="D35" s="10" t="n">
        <v>5</v>
      </c>
      <c r="E35" s="10">
        <f>IF(C35&gt;=4,"Strong",IF(C35&gt;=3,"Moderate","Needs Focus"))</f>
        <v/>
      </c>
    </row>
    <row r="36" ht="20" customHeight="1">
      <c r="A36" s="7" t="n">
        <v>21</v>
      </c>
      <c r="B36" s="8" t="inlineStr">
        <is>
          <t>Recruitment results are evaluated after employees join.</t>
        </is>
      </c>
      <c r="C36" s="9" t="n">
        <v>2</v>
      </c>
      <c r="D36" s="7" t="n">
        <v>5</v>
      </c>
      <c r="E36" s="7">
        <f>IF(C36&gt;=4,"Strong",IF(C36&gt;=3,"Moderate","Needs Focus"))</f>
        <v/>
      </c>
    </row>
    <row r="37" ht="20" customHeight="1">
      <c r="A37" s="10" t="n">
        <v>22</v>
      </c>
      <c r="B37" s="11" t="inlineStr">
        <is>
          <t>The organization tracks recruitment success and early turnover.</t>
        </is>
      </c>
      <c r="C37" s="12" t="n">
        <v>4</v>
      </c>
      <c r="D37" s="10" t="n">
        <v>5</v>
      </c>
      <c r="E37" s="10">
        <f>IF(C37&gt;=4,"Strong",IF(C37&gt;=3,"Moderate","Needs Focus"))</f>
        <v/>
      </c>
    </row>
    <row r="38" ht="20" customHeight="1">
      <c r="A38" s="7" t="n">
        <v>23</v>
      </c>
      <c r="B38" s="8" t="inlineStr">
        <is>
          <t>Hiring decisions are supported by documented assessment results.</t>
        </is>
      </c>
      <c r="C38" s="9" t="n">
        <v>4</v>
      </c>
      <c r="D38" s="7" t="n">
        <v>5</v>
      </c>
      <c r="E38" s="7">
        <f>IF(C38&gt;=4,"Strong",IF(C38&gt;=3,"Moderate","Needs Focus"))</f>
        <v/>
      </c>
    </row>
    <row r="39" ht="20" customHeight="1">
      <c r="A39" s="10" t="n">
        <v>24</v>
      </c>
      <c r="B39" s="11" t="inlineStr">
        <is>
          <t>Recruitment channels are evaluated based on quality of candidates, not only volume.</t>
        </is>
      </c>
      <c r="C39" s="12" t="n">
        <v>2</v>
      </c>
      <c r="D39" s="10" t="n">
        <v>5</v>
      </c>
      <c r="E39" s="10">
        <f>IF(C39&gt;=4,"Strong",IF(C39&gt;=3,"Moderate","Needs Focus"))</f>
        <v/>
      </c>
    </row>
    <row r="40" ht="22" customHeight="1">
      <c r="A40" s="13" t="n"/>
      <c r="B40" s="14" t="inlineStr">
        <is>
          <t>SECTION TOTAL</t>
        </is>
      </c>
      <c r="C40" s="15">
        <f>SUM(C32:C39)</f>
        <v/>
      </c>
      <c r="D40" s="15">
        <f>SUM(D32:D39)</f>
        <v/>
      </c>
      <c r="E40" s="16">
        <f>C40/D40</f>
        <v/>
      </c>
    </row>
    <row r="42" ht="24" customHeight="1">
      <c r="A42" s="4" t="inlineStr">
        <is>
          <t>04. PERFORMANCE MANAGEMENT</t>
        </is>
      </c>
    </row>
    <row r="43" ht="20" customHeight="1">
      <c r="A43" s="5" t="inlineStr">
        <is>
          <t>#</t>
        </is>
      </c>
      <c r="B43" s="6" t="inlineStr">
        <is>
          <t>Assessment Statement</t>
        </is>
      </c>
      <c r="C43" s="5" t="inlineStr">
        <is>
          <t>Score (1-5)</t>
        </is>
      </c>
      <c r="D43" s="5" t="inlineStr">
        <is>
          <t>Max</t>
        </is>
      </c>
      <c r="E43" s="6" t="inlineStr">
        <is>
          <t>Status / Notes</t>
        </is>
      </c>
    </row>
    <row r="44" ht="20" customHeight="1">
      <c r="A44" s="7" t="n">
        <v>25</v>
      </c>
      <c r="B44" s="8" t="inlineStr">
        <is>
          <t>Employees have clearly defined performance expectations.</t>
        </is>
      </c>
      <c r="C44" s="9" t="n">
        <v>4</v>
      </c>
      <c r="D44" s="7" t="n">
        <v>5</v>
      </c>
      <c r="E44" s="7">
        <f>IF(C44&gt;=4,"Strong",IF(C44&gt;=3,"Moderate","Needs Focus"))</f>
        <v/>
      </c>
    </row>
    <row r="45" ht="20" customHeight="1">
      <c r="A45" s="10" t="n">
        <v>26</v>
      </c>
      <c r="B45" s="11" t="inlineStr">
        <is>
          <t>KPIs are linked to organizational and departmental objectives.</t>
        </is>
      </c>
      <c r="C45" s="12" t="n">
        <v>4</v>
      </c>
      <c r="D45" s="10" t="n">
        <v>5</v>
      </c>
      <c r="E45" s="10">
        <f>IF(C45&gt;=4,"Strong",IF(C45&gt;=3,"Moderate","Needs Focus"))</f>
        <v/>
      </c>
    </row>
    <row r="46" ht="20" customHeight="1">
      <c r="A46" s="7" t="n">
        <v>27</v>
      </c>
      <c r="B46" s="8" t="inlineStr">
        <is>
          <t>Individual KPIs are measurable and understandable.</t>
        </is>
      </c>
      <c r="C46" s="9" t="n">
        <v>2</v>
      </c>
      <c r="D46" s="7" t="n">
        <v>5</v>
      </c>
      <c r="E46" s="7">
        <f>IF(C46&gt;=4,"Strong",IF(C46&gt;=3,"Moderate","Needs Focus"))</f>
        <v/>
      </c>
    </row>
    <row r="47" ht="20" customHeight="1">
      <c r="A47" s="10" t="n">
        <v>28</v>
      </c>
      <c r="B47" s="11" t="inlineStr">
        <is>
          <t>Performance is reviewed regularly, not only at year-end.</t>
        </is>
      </c>
      <c r="C47" s="12" t="n">
        <v>4</v>
      </c>
      <c r="D47" s="10" t="n">
        <v>5</v>
      </c>
      <c r="E47" s="10">
        <f>IF(C47&gt;=4,"Strong",IF(C47&gt;=3,"Moderate","Needs Focus"))</f>
        <v/>
      </c>
    </row>
    <row r="48" ht="20" customHeight="1">
      <c r="A48" s="7" t="n">
        <v>29</v>
      </c>
      <c r="B48" s="8" t="inlineStr">
        <is>
          <t>Managers provide meaningful performance feedback.</t>
        </is>
      </c>
      <c r="C48" s="9" t="n">
        <v>4</v>
      </c>
      <c r="D48" s="7" t="n">
        <v>5</v>
      </c>
      <c r="E48" s="7">
        <f>IF(C48&gt;=4,"Strong",IF(C48&gt;=3,"Moderate","Needs Focus"))</f>
        <v/>
      </c>
    </row>
    <row r="49" ht="20" customHeight="1">
      <c r="A49" s="10" t="n">
        <v>30</v>
      </c>
      <c r="B49" s="11" t="inlineStr">
        <is>
          <t>Underperformance is identified and addressed systematically.</t>
        </is>
      </c>
      <c r="C49" s="12" t="n">
        <v>2</v>
      </c>
      <c r="D49" s="10" t="n">
        <v>5</v>
      </c>
      <c r="E49" s="10">
        <f>IF(C49&gt;=4,"Strong",IF(C49&gt;=3,"Moderate","Needs Focus"))</f>
        <v/>
      </c>
    </row>
    <row r="50" ht="20" customHeight="1">
      <c r="A50" s="7" t="n">
        <v>31</v>
      </c>
      <c r="B50" s="8" t="inlineStr">
        <is>
          <t>High performers are recognized appropriately.</t>
        </is>
      </c>
      <c r="C50" s="9" t="n">
        <v>4</v>
      </c>
      <c r="D50" s="7" t="n">
        <v>5</v>
      </c>
      <c r="E50" s="7">
        <f>IF(C50&gt;=4,"Strong",IF(C50&gt;=3,"Moderate","Needs Focus"))</f>
        <v/>
      </c>
    </row>
    <row r="51" ht="20" customHeight="1">
      <c r="A51" s="10" t="n">
        <v>32</v>
      </c>
      <c r="B51" s="11" t="inlineStr">
        <is>
          <t>Performance data is used in management decision-making.</t>
        </is>
      </c>
      <c r="C51" s="12" t="n">
        <v>4</v>
      </c>
      <c r="D51" s="10" t="n">
        <v>5</v>
      </c>
      <c r="E51" s="10">
        <f>IF(C51&gt;=4,"Strong",IF(C51&gt;=3,"Moderate","Needs Focus"))</f>
        <v/>
      </c>
    </row>
    <row r="52" ht="22" customHeight="1">
      <c r="A52" s="13" t="n"/>
      <c r="B52" s="14" t="inlineStr">
        <is>
          <t>SECTION TOTAL</t>
        </is>
      </c>
      <c r="C52" s="15">
        <f>SUM(C44:C51)</f>
        <v/>
      </c>
      <c r="D52" s="15">
        <f>SUM(D44:D51)</f>
        <v/>
      </c>
      <c r="E52" s="16">
        <f>C52/D52</f>
        <v/>
      </c>
    </row>
    <row r="54" ht="24" customHeight="1">
      <c r="A54" s="4" t="inlineStr">
        <is>
          <t>05. COMPENSATION &amp; REWARD</t>
        </is>
      </c>
    </row>
    <row r="55" ht="20" customHeight="1">
      <c r="A55" s="5" t="inlineStr">
        <is>
          <t>#</t>
        </is>
      </c>
      <c r="B55" s="6" t="inlineStr">
        <is>
          <t>Assessment Statement</t>
        </is>
      </c>
      <c r="C55" s="5" t="inlineStr">
        <is>
          <t>Score (1-5)</t>
        </is>
      </c>
      <c r="D55" s="5" t="inlineStr">
        <is>
          <t>Max</t>
        </is>
      </c>
      <c r="E55" s="6" t="inlineStr">
        <is>
          <t>Status / Notes</t>
        </is>
      </c>
    </row>
    <row r="56" ht="20" customHeight="1">
      <c r="A56" s="7" t="n">
        <v>33</v>
      </c>
      <c r="B56" s="8" t="inlineStr">
        <is>
          <t>Compensation structures are clearly defined.</t>
        </is>
      </c>
      <c r="C56" s="9" t="n">
        <v>2</v>
      </c>
      <c r="D56" s="7" t="n">
        <v>5</v>
      </c>
      <c r="E56" s="7">
        <f>IF(C56&gt;=4,"Strong",IF(C56&gt;=3,"Moderate","Needs Focus"))</f>
        <v/>
      </c>
    </row>
    <row r="57" ht="20" customHeight="1">
      <c r="A57" s="10" t="n">
        <v>34</v>
      </c>
      <c r="B57" s="11" t="inlineStr">
        <is>
          <t>Salary levels are reviewed periodically.</t>
        </is>
      </c>
      <c r="C57" s="12" t="n">
        <v>4</v>
      </c>
      <c r="D57" s="10" t="n">
        <v>5</v>
      </c>
      <c r="E57" s="10">
        <f>IF(C57&gt;=4,"Strong",IF(C57&gt;=3,"Moderate","Needs Focus"))</f>
        <v/>
      </c>
    </row>
    <row r="58" ht="20" customHeight="1">
      <c r="A58" s="7" t="n">
        <v>35</v>
      </c>
      <c r="B58" s="8" t="inlineStr">
        <is>
          <t>Compensation is reasonably aligned with job responsibilities.</t>
        </is>
      </c>
      <c r="C58" s="9" t="n">
        <v>4</v>
      </c>
      <c r="D58" s="7" t="n">
        <v>5</v>
      </c>
      <c r="E58" s="7">
        <f>IF(C58&gt;=4,"Strong",IF(C58&gt;=3,"Moderate","Needs Focus"))</f>
        <v/>
      </c>
    </row>
    <row r="59" ht="20" customHeight="1">
      <c r="A59" s="10" t="n">
        <v>36</v>
      </c>
      <c r="B59" s="11" t="inlineStr">
        <is>
          <t>Incentives are linked to measurable performance where appropriate.</t>
        </is>
      </c>
      <c r="C59" s="12" t="n">
        <v>2</v>
      </c>
      <c r="D59" s="10" t="n">
        <v>5</v>
      </c>
      <c r="E59" s="10">
        <f>IF(C59&gt;=4,"Strong",IF(C59&gt;=3,"Moderate","Needs Focus"))</f>
        <v/>
      </c>
    </row>
    <row r="60" ht="20" customHeight="1">
      <c r="A60" s="7" t="n">
        <v>37</v>
      </c>
      <c r="B60" s="8" t="inlineStr">
        <is>
          <t>Employees understand how their performance affects rewards.</t>
        </is>
      </c>
      <c r="C60" s="9" t="n">
        <v>4</v>
      </c>
      <c r="D60" s="7" t="n">
        <v>5</v>
      </c>
      <c r="E60" s="7">
        <f>IF(C60&gt;=4,"Strong",IF(C60&gt;=3,"Moderate","Needs Focus"))</f>
        <v/>
      </c>
    </row>
    <row r="61" ht="20" customHeight="1">
      <c r="A61" s="10" t="n">
        <v>38</v>
      </c>
      <c r="B61" s="11" t="inlineStr">
        <is>
          <t>Payroll information is accurate and properly controlled.</t>
        </is>
      </c>
      <c r="C61" s="12" t="n">
        <v>4</v>
      </c>
      <c r="D61" s="10" t="n">
        <v>5</v>
      </c>
      <c r="E61" s="10">
        <f>IF(C61&gt;=4,"Strong",IF(C61&gt;=3,"Moderate","Needs Focus"))</f>
        <v/>
      </c>
    </row>
    <row r="62" ht="20" customHeight="1">
      <c r="A62" s="7" t="n">
        <v>39</v>
      </c>
      <c r="B62" s="8" t="inlineStr">
        <is>
          <t>Management monitors total people costs against business performance.</t>
        </is>
      </c>
      <c r="C62" s="9" t="n">
        <v>2</v>
      </c>
      <c r="D62" s="7" t="n">
        <v>5</v>
      </c>
      <c r="E62" s="7">
        <f>IF(C62&gt;=4,"Strong",IF(C62&gt;=3,"Moderate","Needs Focus"))</f>
        <v/>
      </c>
    </row>
    <row r="63" ht="20" customHeight="1">
      <c r="A63" s="10" t="n">
        <v>40</v>
      </c>
      <c r="B63" s="11" t="inlineStr">
        <is>
          <t>Reward decisions are applied consistently across comparable roles.</t>
        </is>
      </c>
      <c r="C63" s="12" t="n">
        <v>4</v>
      </c>
      <c r="D63" s="10" t="n">
        <v>5</v>
      </c>
      <c r="E63" s="10">
        <f>IF(C63&gt;=4,"Strong",IF(C63&gt;=3,"Moderate","Needs Focus"))</f>
        <v/>
      </c>
    </row>
    <row r="64" ht="22" customHeight="1">
      <c r="A64" s="13" t="n"/>
      <c r="B64" s="14" t="inlineStr">
        <is>
          <t>SECTION TOTAL</t>
        </is>
      </c>
      <c r="C64" s="15">
        <f>SUM(C56:C63)</f>
        <v/>
      </c>
      <c r="D64" s="15">
        <f>SUM(D56:D63)</f>
        <v/>
      </c>
      <c r="E64" s="16">
        <f>C64/D64</f>
        <v/>
      </c>
    </row>
    <row r="66" ht="24" customHeight="1">
      <c r="A66" s="4" t="inlineStr">
        <is>
          <t>06. EMPLOYEE RELATIONS &amp; CULTURE</t>
        </is>
      </c>
    </row>
    <row r="67" ht="20" customHeight="1">
      <c r="A67" s="5" t="inlineStr">
        <is>
          <t>#</t>
        </is>
      </c>
      <c r="B67" s="6" t="inlineStr">
        <is>
          <t>Assessment Statement</t>
        </is>
      </c>
      <c r="C67" s="5" t="inlineStr">
        <is>
          <t>Score (1-5)</t>
        </is>
      </c>
      <c r="D67" s="5" t="inlineStr">
        <is>
          <t>Max</t>
        </is>
      </c>
      <c r="E67" s="6" t="inlineStr">
        <is>
          <t>Status / Notes</t>
        </is>
      </c>
    </row>
    <row r="68" ht="20" customHeight="1">
      <c r="A68" s="7" t="n">
        <v>41</v>
      </c>
      <c r="B68" s="8" t="inlineStr">
        <is>
          <t>Employees understand organizational values and expected behaviors.</t>
        </is>
      </c>
      <c r="C68" s="9" t="n">
        <v>4</v>
      </c>
      <c r="D68" s="7" t="n">
        <v>5</v>
      </c>
      <c r="E68" s="7">
        <f>IF(C68&gt;=4,"Strong",IF(C68&gt;=3,"Moderate","Needs Focus"))</f>
        <v/>
      </c>
    </row>
    <row r="69" ht="20" customHeight="1">
      <c r="A69" s="10" t="n">
        <v>42</v>
      </c>
      <c r="B69" s="11" t="inlineStr">
        <is>
          <t>Communication between management and employees is effective.</t>
        </is>
      </c>
      <c r="C69" s="12" t="n">
        <v>2</v>
      </c>
      <c r="D69" s="10" t="n">
        <v>5</v>
      </c>
      <c r="E69" s="10">
        <f>IF(C69&gt;=4,"Strong",IF(C69&gt;=3,"Moderate","Needs Focus"))</f>
        <v/>
      </c>
    </row>
    <row r="70" ht="20" customHeight="1">
      <c r="A70" s="7" t="n">
        <v>43</v>
      </c>
      <c r="B70" s="8" t="inlineStr">
        <is>
          <t>Employee complaints are handled through a defined process.</t>
        </is>
      </c>
      <c r="C70" s="9" t="n">
        <v>4</v>
      </c>
      <c r="D70" s="7" t="n">
        <v>5</v>
      </c>
      <c r="E70" s="7">
        <f>IF(C70&gt;=4,"Strong",IF(C70&gt;=3,"Moderate","Needs Focus"))</f>
        <v/>
      </c>
    </row>
    <row r="71" ht="20" customHeight="1">
      <c r="A71" s="10" t="n">
        <v>44</v>
      </c>
      <c r="B71" s="11" t="inlineStr">
        <is>
          <t>Workplace conflicts are addressed promptly.</t>
        </is>
      </c>
      <c r="C71" s="12" t="n">
        <v>4</v>
      </c>
      <c r="D71" s="10" t="n">
        <v>5</v>
      </c>
      <c r="E71" s="10">
        <f>IF(C71&gt;=4,"Strong",IF(C71&gt;=3,"Moderate","Needs Focus"))</f>
        <v/>
      </c>
    </row>
    <row r="72" ht="20" customHeight="1">
      <c r="A72" s="7" t="n">
        <v>45</v>
      </c>
      <c r="B72" s="8" t="inlineStr">
        <is>
          <t>Managers are accountable for the behavior and performance of their teams.</t>
        </is>
      </c>
      <c r="C72" s="9" t="n">
        <v>2</v>
      </c>
      <c r="D72" s="7" t="n">
        <v>5</v>
      </c>
      <c r="E72" s="7">
        <f>IF(C72&gt;=4,"Strong",IF(C72&gt;=3,"Moderate","Needs Focus"))</f>
        <v/>
      </c>
    </row>
    <row r="73" ht="20" customHeight="1">
      <c r="A73" s="10" t="n">
        <v>46</v>
      </c>
      <c r="B73" s="11" t="inlineStr">
        <is>
          <t>Employee engagement or satisfaction is periodically assessed.</t>
        </is>
      </c>
      <c r="C73" s="12" t="n">
        <v>4</v>
      </c>
      <c r="D73" s="10" t="n">
        <v>5</v>
      </c>
      <c r="E73" s="10">
        <f>IF(C73&gt;=4,"Strong",IF(C73&gt;=3,"Moderate","Needs Focus"))</f>
        <v/>
      </c>
    </row>
    <row r="74" ht="20" customHeight="1">
      <c r="A74" s="7" t="n">
        <v>47</v>
      </c>
      <c r="B74" s="8" t="inlineStr">
        <is>
          <t>Management understands the main causes of employee turnover.</t>
        </is>
      </c>
      <c r="C74" s="9" t="n">
        <v>4</v>
      </c>
      <c r="D74" s="7" t="n">
        <v>5</v>
      </c>
      <c r="E74" s="7">
        <f>IF(C74&gt;=4,"Strong",IF(C74&gt;=3,"Moderate","Needs Focus"))</f>
        <v/>
      </c>
    </row>
    <row r="75" ht="20" customHeight="1">
      <c r="A75" s="10" t="n">
        <v>48</v>
      </c>
      <c r="B75" s="11" t="inlineStr">
        <is>
          <t>The organization actively works to build a healthy working culture.</t>
        </is>
      </c>
      <c r="C75" s="12" t="n">
        <v>2</v>
      </c>
      <c r="D75" s="10" t="n">
        <v>5</v>
      </c>
      <c r="E75" s="10">
        <f>IF(C75&gt;=4,"Strong",IF(C75&gt;=3,"Moderate","Needs Focus"))</f>
        <v/>
      </c>
    </row>
    <row r="76" ht="22" customHeight="1">
      <c r="A76" s="13" t="n"/>
      <c r="B76" s="14" t="inlineStr">
        <is>
          <t>SECTION TOTAL</t>
        </is>
      </c>
      <c r="C76" s="15">
        <f>SUM(C68:C75)</f>
        <v/>
      </c>
      <c r="D76" s="15">
        <f>SUM(D68:D75)</f>
        <v/>
      </c>
      <c r="E76" s="16">
        <f>C76/D76</f>
        <v/>
      </c>
    </row>
    <row r="78" ht="24" customHeight="1">
      <c r="A78" s="4" t="inlineStr">
        <is>
          <t>07. HR COMPLIANCE &amp; RISK</t>
        </is>
      </c>
    </row>
    <row r="79" ht="20" customHeight="1">
      <c r="A79" s="5" t="inlineStr">
        <is>
          <t>#</t>
        </is>
      </c>
      <c r="B79" s="6" t="inlineStr">
        <is>
          <t>Assessment Statement</t>
        </is>
      </c>
      <c r="C79" s="5" t="inlineStr">
        <is>
          <t>Score (1-5)</t>
        </is>
      </c>
      <c r="D79" s="5" t="inlineStr">
        <is>
          <t>Max</t>
        </is>
      </c>
      <c r="E79" s="6" t="inlineStr">
        <is>
          <t>Status / Notes</t>
        </is>
      </c>
    </row>
    <row r="80" ht="20" customHeight="1">
      <c r="A80" s="7" t="n">
        <v>49</v>
      </c>
      <c r="B80" s="8" t="inlineStr">
        <is>
          <t>Employee documentation is complete and properly maintained.</t>
        </is>
      </c>
      <c r="C80" s="9" t="n">
        <v>4</v>
      </c>
      <c r="D80" s="7" t="n">
        <v>5</v>
      </c>
      <c r="E80" s="7">
        <f>IF(C80&gt;=4,"Strong",IF(C80&gt;=3,"Moderate","Needs Focus"))</f>
        <v/>
      </c>
    </row>
    <row r="81" ht="20" customHeight="1">
      <c r="A81" s="10" t="n">
        <v>50</v>
      </c>
      <c r="B81" s="11" t="inlineStr">
        <is>
          <t>Employment agreements and HR documentation are properly managed.</t>
        </is>
      </c>
      <c r="C81" s="12" t="n">
        <v>4</v>
      </c>
      <c r="D81" s="10" t="n">
        <v>5</v>
      </c>
      <c r="E81" s="10">
        <f>IF(C81&gt;=4,"Strong",IF(C81&gt;=3,"Moderate","Needs Focus"))</f>
        <v/>
      </c>
    </row>
    <row r="82" ht="20" customHeight="1">
      <c r="A82" s="7" t="n">
        <v>51</v>
      </c>
      <c r="B82" s="8" t="inlineStr">
        <is>
          <t>Working hours, attendance, leave, and absence are properly monitored.</t>
        </is>
      </c>
      <c r="C82" s="9" t="n">
        <v>2</v>
      </c>
      <c r="D82" s="7" t="n">
        <v>5</v>
      </c>
      <c r="E82" s="7">
        <f>IF(C82&gt;=4,"Strong",IF(C82&gt;=3,"Moderate","Needs Focus"))</f>
        <v/>
      </c>
    </row>
    <row r="83" ht="20" customHeight="1">
      <c r="A83" s="10" t="n">
        <v>52</v>
      </c>
      <c r="B83" s="11" t="inlineStr">
        <is>
          <t>Statutory employment obligations are monitored and managed.</t>
        </is>
      </c>
      <c r="C83" s="12" t="n">
        <v>4</v>
      </c>
      <c r="D83" s="10" t="n">
        <v>5</v>
      </c>
      <c r="E83" s="10">
        <f>IF(C83&gt;=4,"Strong",IF(C83&gt;=3,"Moderate","Needs Focus"))</f>
        <v/>
      </c>
    </row>
    <row r="84" ht="20" customHeight="1">
      <c r="A84" s="7" t="n">
        <v>53</v>
      </c>
      <c r="B84" s="8" t="inlineStr">
        <is>
          <t>HR-related risks are periodically identified and reviewed.</t>
        </is>
      </c>
      <c r="C84" s="9" t="n">
        <v>4</v>
      </c>
      <c r="D84" s="7" t="n">
        <v>5</v>
      </c>
      <c r="E84" s="7">
        <f>IF(C84&gt;=4,"Strong",IF(C84&gt;=3,"Moderate","Needs Focus"))</f>
        <v/>
      </c>
    </row>
    <row r="85" ht="20" customHeight="1">
      <c r="A85" s="10" t="n">
        <v>54</v>
      </c>
      <c r="B85" s="11" t="inlineStr">
        <is>
          <t>Employee disciplinary processes are documented and consistently applied.</t>
        </is>
      </c>
      <c r="C85" s="12" t="n">
        <v>2</v>
      </c>
      <c r="D85" s="10" t="n">
        <v>5</v>
      </c>
      <c r="E85" s="10">
        <f>IF(C85&gt;=4,"Strong",IF(C85&gt;=3,"Moderate","Needs Focus"))</f>
        <v/>
      </c>
    </row>
    <row r="86" ht="20" customHeight="1">
      <c r="A86" s="7" t="n">
        <v>55</v>
      </c>
      <c r="B86" s="8" t="inlineStr">
        <is>
          <t>Confidential employee information is properly protected.</t>
        </is>
      </c>
      <c r="C86" s="9" t="n">
        <v>4</v>
      </c>
      <c r="D86" s="7" t="n">
        <v>5</v>
      </c>
      <c r="E86" s="7">
        <f>IF(C86&gt;=4,"Strong",IF(C86&gt;=3,"Moderate","Needs Focus"))</f>
        <v/>
      </c>
    </row>
    <row r="87" ht="20" customHeight="1">
      <c r="A87" s="10" t="n">
        <v>56</v>
      </c>
      <c r="B87" s="11" t="inlineStr">
        <is>
          <t>Management understands the potential consequences of HR non-compliance.</t>
        </is>
      </c>
      <c r="C87" s="12" t="n">
        <v>4</v>
      </c>
      <c r="D87" s="10" t="n">
        <v>5</v>
      </c>
      <c r="E87" s="10">
        <f>IF(C87&gt;=4,"Strong",IF(C87&gt;=3,"Moderate","Needs Focus"))</f>
        <v/>
      </c>
    </row>
    <row r="88" ht="22" customHeight="1">
      <c r="A88" s="13" t="n"/>
      <c r="B88" s="14" t="inlineStr">
        <is>
          <t>SECTION TOTAL</t>
        </is>
      </c>
      <c r="C88" s="15">
        <f>SUM(C80:C87)</f>
        <v/>
      </c>
      <c r="D88" s="15">
        <f>SUM(D80:D87)</f>
        <v/>
      </c>
      <c r="E88" s="16">
        <f>C88/D88</f>
        <v/>
      </c>
    </row>
    <row r="90" ht="24" customHeight="1">
      <c r="A90" s="4" t="inlineStr">
        <is>
          <t>08. HR DATA &amp; DECISION SUPPORT</t>
        </is>
      </c>
    </row>
    <row r="91" ht="20" customHeight="1">
      <c r="A91" s="5" t="inlineStr">
        <is>
          <t>#</t>
        </is>
      </c>
      <c r="B91" s="6" t="inlineStr">
        <is>
          <t>Assessment Statement</t>
        </is>
      </c>
      <c r="C91" s="5" t="inlineStr">
        <is>
          <t>Score (1-5)</t>
        </is>
      </c>
      <c r="D91" s="5" t="inlineStr">
        <is>
          <t>Max</t>
        </is>
      </c>
      <c r="E91" s="6" t="inlineStr">
        <is>
          <t>Status / Notes</t>
        </is>
      </c>
    </row>
    <row r="92" ht="20" customHeight="1">
      <c r="A92" s="7" t="n">
        <v>57</v>
      </c>
      <c r="B92" s="8" t="inlineStr">
        <is>
          <t>The organization maintains accurate employee data.</t>
        </is>
      </c>
      <c r="C92" s="9" t="n">
        <v>2</v>
      </c>
      <c r="D92" s="7" t="n">
        <v>5</v>
      </c>
      <c r="E92" s="7">
        <f>IF(C92&gt;=4,"Strong",IF(C92&gt;=3,"Moderate","Needs Focus"))</f>
        <v/>
      </c>
    </row>
    <row r="93" ht="20" customHeight="1">
      <c r="A93" s="10" t="n">
        <v>58</v>
      </c>
      <c r="B93" s="11" t="inlineStr">
        <is>
          <t>HR has reliable data on headcount and turnover.</t>
        </is>
      </c>
      <c r="C93" s="12" t="n">
        <v>4</v>
      </c>
      <c r="D93" s="10" t="n">
        <v>5</v>
      </c>
      <c r="E93" s="10">
        <f>IF(C93&gt;=4,"Strong",IF(C93&gt;=3,"Moderate","Needs Focus"))</f>
        <v/>
      </c>
    </row>
    <row r="94" ht="20" customHeight="1">
      <c r="A94" s="7" t="n">
        <v>59</v>
      </c>
      <c r="B94" s="8" t="inlineStr">
        <is>
          <t>Attendance and absence data are regularly analyzed.</t>
        </is>
      </c>
      <c r="C94" s="9" t="n">
        <v>4</v>
      </c>
      <c r="D94" s="7" t="n">
        <v>5</v>
      </c>
      <c r="E94" s="7">
        <f>IF(C94&gt;=4,"Strong",IF(C94&gt;=3,"Moderate","Needs Focus"))</f>
        <v/>
      </c>
    </row>
    <row r="95" ht="20" customHeight="1">
      <c r="A95" s="10" t="n">
        <v>60</v>
      </c>
      <c r="B95" s="11" t="inlineStr">
        <is>
          <t>Recruitment and turnover data are monitored.</t>
        </is>
      </c>
      <c r="C95" s="12" t="n">
        <v>2</v>
      </c>
      <c r="D95" s="10" t="n">
        <v>5</v>
      </c>
      <c r="E95" s="10">
        <f>IF(C95&gt;=4,"Strong",IF(C95&gt;=3,"Moderate","Needs Focus"))</f>
        <v/>
      </c>
    </row>
    <row r="96" ht="20" customHeight="1">
      <c r="A96" s="7" t="n">
        <v>61</v>
      </c>
      <c r="B96" s="8" t="inlineStr">
        <is>
          <t>HR can provide management with meaningful workforce reports.</t>
        </is>
      </c>
      <c r="C96" s="9" t="n">
        <v>4</v>
      </c>
      <c r="D96" s="7" t="n">
        <v>5</v>
      </c>
      <c r="E96" s="7">
        <f>IF(C96&gt;=4,"Strong",IF(C96&gt;=3,"Moderate","Needs Focus"))</f>
        <v/>
      </c>
    </row>
    <row r="97" ht="20" customHeight="1">
      <c r="A97" s="10" t="n">
        <v>62</v>
      </c>
      <c r="B97" s="11" t="inlineStr">
        <is>
          <t>HR metrics are connected to business performance.</t>
        </is>
      </c>
      <c r="C97" s="12" t="n">
        <v>4</v>
      </c>
      <c r="D97" s="10" t="n">
        <v>5</v>
      </c>
      <c r="E97" s="10">
        <f>IF(C97&gt;=4,"Strong",IF(C97&gt;=3,"Moderate","Needs Focus"))</f>
        <v/>
      </c>
    </row>
    <row r="98" ht="20" customHeight="1">
      <c r="A98" s="7" t="n">
        <v>63</v>
      </c>
      <c r="B98" s="8" t="inlineStr">
        <is>
          <t>Management uses HR data when making business decisions.</t>
        </is>
      </c>
      <c r="C98" s="9" t="n">
        <v>2</v>
      </c>
      <c r="D98" s="7" t="n">
        <v>5</v>
      </c>
      <c r="E98" s="7">
        <f>IF(C98&gt;=4,"Strong",IF(C98&gt;=3,"Moderate","Needs Focus"))</f>
        <v/>
      </c>
    </row>
    <row r="99" ht="20" customHeight="1">
      <c r="A99" s="10" t="n">
        <v>64</v>
      </c>
      <c r="B99" s="11" t="inlineStr">
        <is>
          <t>HR reporting is timely, accurate, and actionable.</t>
        </is>
      </c>
      <c r="C99" s="12" t="n">
        <v>4</v>
      </c>
      <c r="D99" s="10" t="n">
        <v>5</v>
      </c>
      <c r="E99" s="10">
        <f>IF(C99&gt;=4,"Strong",IF(C99&gt;=3,"Moderate","Needs Focus"))</f>
        <v/>
      </c>
    </row>
    <row r="100" ht="22" customHeight="1">
      <c r="A100" s="13" t="n"/>
      <c r="B100" s="14" t="inlineStr">
        <is>
          <t>SECTION TOTAL</t>
        </is>
      </c>
      <c r="C100" s="15">
        <f>SUM(C92:C99)</f>
        <v/>
      </c>
      <c r="D100" s="15">
        <f>SUM(D92:D99)</f>
        <v/>
      </c>
      <c r="E100" s="16">
        <f>C100/D100</f>
        <v/>
      </c>
    </row>
    <row r="102">
      <c r="A102" s="17" t="inlineStr">
        <is>
          <t>GRAND TOTAL HR HEALTH SCORE</t>
        </is>
      </c>
      <c r="B102" s="18" t="n"/>
      <c r="C102" s="19">
        <f>+C16+C28+C40+C52+C64+C76+C88+C100</f>
        <v/>
      </c>
      <c r="D102" s="19">
        <f>+D16+D28+D40+D52+D64+D76+D88+D100</f>
        <v/>
      </c>
      <c r="E102" s="20">
        <f>C102/D102</f>
        <v/>
      </c>
    </row>
  </sheetData>
  <mergeCells count="12">
    <mergeCell ref="A30:E30"/>
    <mergeCell ref="A4:E4"/>
    <mergeCell ref="A78:E78"/>
    <mergeCell ref="A2:E2"/>
    <mergeCell ref="A54:E54"/>
    <mergeCell ref="A42:E42"/>
    <mergeCell ref="A90:E90"/>
    <mergeCell ref="A1:E1"/>
    <mergeCell ref="A102:B102"/>
    <mergeCell ref="A66:E66"/>
    <mergeCell ref="A6:E6"/>
    <mergeCell ref="A18:E18"/>
  </mergeCells>
  <dataValidations count="1">
    <dataValidation sqref="C7:C200" showDropDown="0" showInputMessage="0" showErrorMessage="0" allowBlank="0" errorTitle="Invalid Score" error="Your entry is invalid. Please enter a score between 1 and 5." type="whole" operator="between">
      <formula1>1</formula1>
      <formula2>5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0" customWidth="1" min="3" max="3"/>
    <col width="10" customWidth="1" min="4" max="4"/>
    <col width="14" customWidth="1" min="5" max="5"/>
    <col width="18" customWidth="1" min="6" max="6"/>
    <col width="4" customWidth="1" min="7" max="7"/>
    <col width="14" customWidth="1" min="8" max="8"/>
    <col width="20" customWidth="1" min="9" max="9"/>
    <col width="45" customWidth="1" min="10" max="10"/>
  </cols>
  <sheetData>
    <row r="1" ht="35" customHeight="1">
      <c r="A1" s="1" t="inlineStr">
        <is>
          <t>HR HEALTH EXECUTIVE DASHBOARD</t>
        </is>
      </c>
    </row>
    <row r="2" ht="20" customHeight="1">
      <c r="A2" s="2" t="inlineStr">
        <is>
          <t>Overall Performance Summary &amp; Section Breakdown</t>
        </is>
      </c>
    </row>
    <row r="4" ht="18" customHeight="1">
      <c r="B4" s="21" t="inlineStr">
        <is>
          <t>TOTAL HR HEALTH SCORE</t>
        </is>
      </c>
      <c r="C4" s="22" t="n"/>
      <c r="D4" s="21" t="inlineStr">
        <is>
          <t>HEALTH LEVEL</t>
        </is>
      </c>
      <c r="E4" s="22" t="n"/>
      <c r="F4" s="21" t="inlineStr">
        <is>
          <t>OVERALL COMPLIANCE %</t>
        </is>
      </c>
      <c r="G4" s="22" t="n"/>
    </row>
    <row r="5" ht="25" customHeight="1">
      <c r="B5" s="23">
        <f>'HR Health Check'!C102</f>
        <v/>
      </c>
      <c r="C5" s="22" t="n"/>
      <c r="D5" s="24">
        <f>IF(B5&gt;=256,"Strong Foundation",IF(B5&gt;=192,"Developing",IF(B5&gt;=128,"Needs Attention","High Risk")))</f>
        <v/>
      </c>
      <c r="E5" s="22" t="n"/>
      <c r="F5" s="25">
        <f>B5/320</f>
        <v/>
      </c>
      <c r="G5" s="22" t="n"/>
    </row>
    <row r="7">
      <c r="A7" s="26" t="inlineStr">
        <is>
          <t>Section Breakdown</t>
        </is>
      </c>
      <c r="H7" s="26" t="inlineStr">
        <is>
          <t>Score Interpretation Scale</t>
        </is>
      </c>
    </row>
    <row r="8" ht="22" customHeight="1">
      <c r="A8" s="27" t="inlineStr">
        <is>
          <t>Section #</t>
        </is>
      </c>
      <c r="B8" s="28" t="inlineStr">
        <is>
          <t>HR Function Area</t>
        </is>
      </c>
      <c r="C8" s="27" t="inlineStr">
        <is>
          <t>Score</t>
        </is>
      </c>
      <c r="D8" s="27" t="inlineStr">
        <is>
          <t>Max</t>
        </is>
      </c>
      <c r="E8" s="27" t="inlineStr">
        <is>
          <t>% Achieved</t>
        </is>
      </c>
      <c r="F8" s="27" t="inlineStr">
        <is>
          <t>Status Level</t>
        </is>
      </c>
      <c r="H8" s="27" t="inlineStr">
        <is>
          <t>Score Range</t>
        </is>
      </c>
      <c r="I8" s="27" t="inlineStr">
        <is>
          <t>Health Level</t>
        </is>
      </c>
      <c r="J8" s="28" t="inlineStr">
        <is>
          <t>Interpretation &amp; Guidance</t>
        </is>
      </c>
    </row>
    <row r="9" ht="32" customHeight="1">
      <c r="A9" s="7" t="inlineStr">
        <is>
          <t>01</t>
        </is>
      </c>
      <c r="B9" s="8" t="inlineStr">
        <is>
          <t>ORGANIZATION &amp; HR GOVERNANCE</t>
        </is>
      </c>
      <c r="C9" s="7">
        <f>'HR Health Check'!C16</f>
        <v/>
      </c>
      <c r="D9" s="7">
        <f>'HR Health Check'!D16</f>
        <v/>
      </c>
      <c r="E9" s="29">
        <f>C9/D9</f>
        <v/>
      </c>
      <c r="F9" s="7">
        <f>IF(E9&gt;=0.8,"Strong",IF(E9&gt;=0.6,"Developing",IF(E9&gt;=0.4,"Needs Attention","High Risk")))</f>
        <v/>
      </c>
      <c r="H9" s="30" t="inlineStr">
        <is>
          <t>256 – 320</t>
        </is>
      </c>
      <c r="I9" s="30" t="inlineStr">
        <is>
          <t>Strong Foundation</t>
        </is>
      </c>
      <c r="J9" s="30" t="inlineStr">
        <is>
          <t>Core HR systems are generally established and functioning. Focus on optimization and continuous improvement.</t>
        </is>
      </c>
    </row>
    <row r="10" ht="32" customHeight="1">
      <c r="A10" s="10" t="inlineStr">
        <is>
          <t>02</t>
        </is>
      </c>
      <c r="B10" s="11" t="inlineStr">
        <is>
          <t>WORKFORCE PLANNING</t>
        </is>
      </c>
      <c r="C10" s="10">
        <f>'HR Health Check'!C28</f>
        <v/>
      </c>
      <c r="D10" s="10">
        <f>'HR Health Check'!D28</f>
        <v/>
      </c>
      <c r="E10" s="31">
        <f>C10/D10</f>
        <v/>
      </c>
      <c r="F10" s="10">
        <f>IF(E10&gt;=0.8,"Strong",IF(E10&gt;=0.6,"Developing",IF(E10&gt;=0.4,"Needs Attention","High Risk")))</f>
        <v/>
      </c>
      <c r="H10" s="30" t="inlineStr">
        <is>
          <t>192 – 255</t>
        </is>
      </c>
      <c r="I10" s="30" t="inlineStr">
        <is>
          <t>Developing</t>
        </is>
      </c>
      <c r="J10" s="30" t="inlineStr">
        <is>
          <t>Important HR systems exist, but several areas require strengthening and greater consistency.</t>
        </is>
      </c>
    </row>
    <row r="11" ht="32" customHeight="1">
      <c r="A11" s="7" t="inlineStr">
        <is>
          <t>03</t>
        </is>
      </c>
      <c r="B11" s="8" t="inlineStr">
        <is>
          <t>RECRUITMENT &amp; SELECTION</t>
        </is>
      </c>
      <c r="C11" s="7">
        <f>'HR Health Check'!C40</f>
        <v/>
      </c>
      <c r="D11" s="7">
        <f>'HR Health Check'!D40</f>
        <v/>
      </c>
      <c r="E11" s="29">
        <f>C11/D11</f>
        <v/>
      </c>
      <c r="F11" s="7">
        <f>IF(E11&gt;=0.8,"Strong",IF(E11&gt;=0.6,"Developing",IF(E11&gt;=0.4,"Needs Attention","High Risk")))</f>
        <v/>
      </c>
      <c r="H11" s="30" t="inlineStr">
        <is>
          <t>128 – 191</t>
        </is>
      </c>
      <c r="I11" s="30" t="inlineStr">
        <is>
          <t>Needs Attention</t>
        </is>
      </c>
      <c r="J11" s="30" t="inlineStr">
        <is>
          <t>Significant gaps may be affecting people management, operational consistency, or business performance.</t>
        </is>
      </c>
    </row>
    <row r="12" ht="32" customHeight="1">
      <c r="A12" s="10" t="inlineStr">
        <is>
          <t>04</t>
        </is>
      </c>
      <c r="B12" s="11" t="inlineStr">
        <is>
          <t>PERFORMANCE MANAGEMENT</t>
        </is>
      </c>
      <c r="C12" s="10">
        <f>'HR Health Check'!C52</f>
        <v/>
      </c>
      <c r="D12" s="10">
        <f>'HR Health Check'!D52</f>
        <v/>
      </c>
      <c r="E12" s="31">
        <f>C12/D12</f>
        <v/>
      </c>
      <c r="F12" s="10">
        <f>IF(E12&gt;=0.8,"Strong",IF(E12&gt;=0.6,"Developing",IF(E12&gt;=0.4,"Needs Attention","High Risk")))</f>
        <v/>
      </c>
      <c r="H12" s="30" t="inlineStr">
        <is>
          <t>64 – 127</t>
        </is>
      </c>
      <c r="I12" s="30" t="inlineStr">
        <is>
          <t>High Risk</t>
        </is>
      </c>
      <c r="J12" s="30" t="inlineStr">
        <is>
          <t>HR practices may be largely reactive and expose the organization to operational, people, and compliance risks.</t>
        </is>
      </c>
    </row>
    <row r="13" ht="20" customHeight="1">
      <c r="A13" s="7" t="inlineStr">
        <is>
          <t>05</t>
        </is>
      </c>
      <c r="B13" s="8" t="inlineStr">
        <is>
          <t>COMPENSATION &amp; REWARD</t>
        </is>
      </c>
      <c r="C13" s="7">
        <f>'HR Health Check'!C64</f>
        <v/>
      </c>
      <c r="D13" s="7">
        <f>'HR Health Check'!D64</f>
        <v/>
      </c>
      <c r="E13" s="29">
        <f>C13/D13</f>
        <v/>
      </c>
      <c r="F13" s="7">
        <f>IF(E13&gt;=0.8,"Strong",IF(E13&gt;=0.6,"Developing",IF(E13&gt;=0.4,"Needs Attention","High Risk")))</f>
        <v/>
      </c>
    </row>
    <row r="14" ht="20" customHeight="1">
      <c r="A14" s="10" t="inlineStr">
        <is>
          <t>06</t>
        </is>
      </c>
      <c r="B14" s="11" t="inlineStr">
        <is>
          <t>EMPLOYEE RELATIONS &amp; CULTURE</t>
        </is>
      </c>
      <c r="C14" s="10">
        <f>'HR Health Check'!C76</f>
        <v/>
      </c>
      <c r="D14" s="10">
        <f>'HR Health Check'!D76</f>
        <v/>
      </c>
      <c r="E14" s="31">
        <f>C14/D14</f>
        <v/>
      </c>
      <c r="F14" s="10">
        <f>IF(E14&gt;=0.8,"Strong",IF(E14&gt;=0.6,"Developing",IF(E14&gt;=0.4,"Needs Attention","High Risk")))</f>
        <v/>
      </c>
    </row>
    <row r="15" ht="20" customHeight="1">
      <c r="A15" s="7" t="inlineStr">
        <is>
          <t>07</t>
        </is>
      </c>
      <c r="B15" s="8" t="inlineStr">
        <is>
          <t>HR COMPLIANCE &amp; RISK</t>
        </is>
      </c>
      <c r="C15" s="7">
        <f>'HR Health Check'!C88</f>
        <v/>
      </c>
      <c r="D15" s="7">
        <f>'HR Health Check'!D88</f>
        <v/>
      </c>
      <c r="E15" s="29">
        <f>C15/D15</f>
        <v/>
      </c>
      <c r="F15" s="7">
        <f>IF(E15&gt;=0.8,"Strong",IF(E15&gt;=0.6,"Developing",IF(E15&gt;=0.4,"Needs Attention","High Risk")))</f>
        <v/>
      </c>
    </row>
    <row r="16" ht="20" customHeight="1">
      <c r="A16" s="10" t="inlineStr">
        <is>
          <t>08</t>
        </is>
      </c>
      <c r="B16" s="11" t="inlineStr">
        <is>
          <t>HR DATA &amp; DECISION SUPPORT</t>
        </is>
      </c>
      <c r="C16" s="10">
        <f>'HR Health Check'!C100</f>
        <v/>
      </c>
      <c r="D16" s="10">
        <f>'HR Health Check'!D100</f>
        <v/>
      </c>
      <c r="E16" s="31">
        <f>C16/D16</f>
        <v/>
      </c>
      <c r="F16" s="10">
        <f>IF(E16&gt;=0.8,"Strong",IF(E16&gt;=0.6,"Developing",IF(E16&gt;=0.4,"Needs Attention","High Risk")))</f>
        <v/>
      </c>
    </row>
  </sheetData>
  <mergeCells count="8">
    <mergeCell ref="F4:G4"/>
    <mergeCell ref="A1:G1"/>
    <mergeCell ref="B5:C5"/>
    <mergeCell ref="F5:G5"/>
    <mergeCell ref="D5:E5"/>
    <mergeCell ref="A2:G2"/>
    <mergeCell ref="D4:E4"/>
    <mergeCell ref="B4:C4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8" customWidth="1" min="3" max="3"/>
    <col width="32" customWidth="1" min="4" max="4"/>
    <col width="16" customWidth="1" min="5" max="5"/>
    <col width="14" customWidth="1" min="6" max="6"/>
    <col width="25" customWidth="1" min="7" max="7"/>
  </cols>
  <sheetData>
    <row r="1" ht="35" customHeight="1">
      <c r="A1" s="1" t="inlineStr">
        <is>
          <t>HR IMPROVEMENT ROADMAP &amp; MANAGEMENT ACTION</t>
        </is>
      </c>
    </row>
    <row r="3" ht="24" customHeight="1">
      <c r="A3" s="32" t="inlineStr">
        <is>
          <t>THE 5 QUESTIONS MANAGEMENT SHOULD ASK</t>
        </is>
      </c>
    </row>
    <row r="4" ht="20" customHeight="1">
      <c r="A4" s="5" t="inlineStr">
        <is>
          <t>#</t>
        </is>
      </c>
      <c r="B4" s="6" t="inlineStr">
        <is>
          <t>Management Discussion Question</t>
        </is>
      </c>
      <c r="C4" s="6" t="inlineStr">
        <is>
          <t>Context &amp; Focus Area</t>
        </is>
      </c>
      <c r="D4" s="6" t="inlineStr">
        <is>
          <t>Management Assessment &amp; Notes</t>
        </is>
      </c>
      <c r="E4" s="33" t="n"/>
      <c r="F4" s="33" t="n"/>
      <c r="G4" s="33" t="n"/>
    </row>
    <row r="5" ht="28" customHeight="1">
      <c r="A5" s="10" t="n">
        <v>1</v>
      </c>
      <c r="B5" s="11" t="inlineStr">
        <is>
          <t>Where is our biggest HR gap?</t>
        </is>
      </c>
      <c r="C5" s="11" t="inlineStr">
        <is>
          <t>Which section received the lowest score? Focus immediate assessment here.</t>
        </is>
      </c>
      <c r="D5" s="34" t="inlineStr">
        <is>
          <t>[ Enter management notes here ]</t>
        </is>
      </c>
      <c r="E5" s="35" t="n"/>
      <c r="F5" s="35" t="n"/>
      <c r="G5" s="35" t="n"/>
    </row>
    <row r="6" ht="28" customHeight="1">
      <c r="A6" s="7" t="n">
        <v>2</v>
      </c>
      <c r="B6" s="8" t="inlineStr">
        <is>
          <t>Which HR issue is already affecting business performance?</t>
        </is>
      </c>
      <c r="C6" s="8" t="inlineStr">
        <is>
          <t>Don't focus only on HR symptoms. Identify direct impact on revenue, cost, or execution.</t>
        </is>
      </c>
      <c r="D6" s="36" t="inlineStr">
        <is>
          <t>[ Enter management notes here ]</t>
        </is>
      </c>
      <c r="E6" s="37" t="n"/>
      <c r="F6" s="37" t="n"/>
      <c r="G6" s="37" t="n"/>
    </row>
    <row r="7" ht="28" customHeight="1">
      <c r="A7" s="10" t="n">
        <v>3</v>
      </c>
      <c r="B7" s="11" t="inlineStr">
        <is>
          <t>Which HR process depends too heavily on individual people?</t>
        </is>
      </c>
      <c r="C7" s="11" t="inlineStr">
        <is>
          <t>Identify key-person dependency. If one HR person or manager leaves, does the system work?</t>
        </is>
      </c>
      <c r="D7" s="34" t="inlineStr">
        <is>
          <t>[ Enter management notes here ]</t>
        </is>
      </c>
      <c r="E7" s="35" t="n"/>
      <c r="F7" s="35" t="n"/>
      <c r="G7" s="35" t="n"/>
    </row>
    <row r="8" ht="28" customHeight="1">
      <c r="A8" s="7" t="n">
        <v>4</v>
      </c>
      <c r="B8" s="8" t="inlineStr">
        <is>
          <t>Which HR policy exists on paper but is not consistently implemented?</t>
        </is>
      </c>
      <c r="C8" s="8" t="inlineStr">
        <is>
          <t>A policy that is not consistently practiced is a major governance weakness.</t>
        </is>
      </c>
      <c r="D8" s="36" t="inlineStr">
        <is>
          <t>[ Enter management notes here ]</t>
        </is>
      </c>
      <c r="E8" s="37" t="n"/>
      <c r="F8" s="37" t="n"/>
      <c r="G8" s="37" t="n"/>
    </row>
    <row r="9" ht="28" customHeight="1">
      <c r="A9" s="10" t="n">
        <v>5</v>
      </c>
      <c r="B9" s="11" t="inlineStr">
        <is>
          <t>What should we fix first?</t>
        </is>
      </c>
      <c r="C9" s="11" t="inlineStr">
        <is>
          <t>Prioritize issues based on business impact, risk level, and implementation urgency.</t>
        </is>
      </c>
      <c r="D9" s="34" t="inlineStr">
        <is>
          <t>[ Enter management notes here ]</t>
        </is>
      </c>
      <c r="E9" s="35" t="n"/>
      <c r="F9" s="35" t="n"/>
      <c r="G9" s="35" t="n"/>
    </row>
    <row r="12" ht="24" customHeight="1">
      <c r="A12" s="32" t="inlineStr">
        <is>
          <t>HR IMPROVEMENT ROADMAP (ACTION PLAN)</t>
        </is>
      </c>
    </row>
    <row r="13" ht="22" customHeight="1">
      <c r="A13" s="6" t="inlineStr">
        <is>
          <t>Priority Issue</t>
        </is>
      </c>
      <c r="B13" s="6" t="inlineStr">
        <is>
          <t>Root Cause</t>
        </is>
      </c>
      <c r="C13" s="6" t="inlineStr">
        <is>
          <t>Business Impact</t>
        </is>
      </c>
      <c r="D13" s="6" t="inlineStr">
        <is>
          <t>Required Action</t>
        </is>
      </c>
      <c r="E13" s="5" t="inlineStr">
        <is>
          <t>Owner</t>
        </is>
      </c>
      <c r="F13" s="5" t="inlineStr">
        <is>
          <t>Timeline</t>
        </is>
      </c>
      <c r="G13" s="6" t="inlineStr">
        <is>
          <t>Success Measure</t>
        </is>
      </c>
    </row>
    <row r="14" ht="30" customHeight="1">
      <c r="A14" s="30" t="inlineStr">
        <is>
          <t>Unclear job responsibilities</t>
        </is>
      </c>
      <c r="B14" s="30" t="inlineStr">
        <is>
          <t>Lack of formal job descriptions</t>
        </is>
      </c>
      <c r="C14" s="30" t="inlineStr">
        <is>
          <t>Overlap in duties &amp; decision delays</t>
        </is>
      </c>
      <c r="D14" s="30" t="inlineStr">
        <is>
          <t>Develop &amp; review standard Job Descriptions for all roles</t>
        </is>
      </c>
      <c r="E14" s="7" t="inlineStr">
        <is>
          <t>HR Manager</t>
        </is>
      </c>
      <c r="F14" s="7" t="inlineStr">
        <is>
          <t>Q1 2027</t>
        </is>
      </c>
      <c r="G14" s="30" t="inlineStr">
        <is>
          <t>100% signed JDs</t>
        </is>
      </c>
    </row>
    <row r="15" ht="30" customHeight="1">
      <c r="A15" s="38" t="inlineStr">
        <is>
          <t>High turnover in key roles</t>
        </is>
      </c>
      <c r="B15" s="38" t="inlineStr">
        <is>
          <t>Competitive salary &amp; vague career path</t>
        </is>
      </c>
      <c r="C15" s="38" t="inlineStr">
        <is>
          <t>High recruitment cost &amp; lost productivity</t>
        </is>
      </c>
      <c r="D15" s="38" t="inlineStr">
        <is>
          <t>Conduct salary bench-marking &amp; define career progression</t>
        </is>
      </c>
      <c r="E15" s="10" t="inlineStr">
        <is>
          <t>HR Director</t>
        </is>
      </c>
      <c r="F15" s="10" t="inlineStr">
        <is>
          <t>Q2 2027</t>
        </is>
      </c>
      <c r="G15" s="38" t="inlineStr">
        <is>
          <t>Turnover rate &lt; 10%</t>
        </is>
      </c>
    </row>
    <row r="16" ht="30" customHeight="1">
      <c r="A16" s="30" t="inlineStr">
        <is>
          <t>Inconsistent Performance Feedback</t>
        </is>
      </c>
      <c r="B16" s="30" t="inlineStr">
        <is>
          <t>Managers lack appraisal coaching</t>
        </is>
      </c>
      <c r="C16" s="30" t="inlineStr">
        <is>
          <t>Low employee engagement &amp; unclear KPIs</t>
        </is>
      </c>
      <c r="D16" s="30" t="inlineStr">
        <is>
          <t>Conduct KPI setting workshop &amp; manager coaching</t>
        </is>
      </c>
      <c r="E16" s="7" t="inlineStr">
        <is>
          <t>OD Specialist</t>
        </is>
      </c>
      <c r="F16" s="7" t="inlineStr">
        <is>
          <t>Q1 2027</t>
        </is>
      </c>
      <c r="G16" s="30" t="inlineStr">
        <is>
          <t>Bi-annual review compliance &gt; 95%</t>
        </is>
      </c>
    </row>
    <row r="17" ht="30" customHeight="1">
      <c r="A17" s="38" t="inlineStr">
        <is>
          <t>Paper-only HR Policies</t>
        </is>
      </c>
      <c r="B17" s="38" t="inlineStr">
        <is>
          <t>Policies not integrated into daily Ops</t>
        </is>
      </c>
      <c r="C17" s="38" t="inlineStr">
        <is>
          <t>Governance risk &amp; inconsistent compliance</t>
        </is>
      </c>
      <c r="D17" s="38" t="inlineStr">
        <is>
          <t>Publish HR Handbook &amp; run policy orientation sessions</t>
        </is>
      </c>
      <c r="E17" s="10" t="inlineStr">
        <is>
          <t>HR Ops Lead</t>
        </is>
      </c>
      <c r="F17" s="10" t="inlineStr">
        <is>
          <t>Q2 2027</t>
        </is>
      </c>
      <c r="G17" s="38" t="inlineStr">
        <is>
          <t>Policy acknowledgment score 100%</t>
        </is>
      </c>
    </row>
  </sheetData>
  <mergeCells count="9">
    <mergeCell ref="A1:G1"/>
    <mergeCell ref="D9:G9"/>
    <mergeCell ref="A3:G3"/>
    <mergeCell ref="D8:G8"/>
    <mergeCell ref="D6:G6"/>
    <mergeCell ref="A12:G12"/>
    <mergeCell ref="D7:G7"/>
    <mergeCell ref="D5:G5"/>
    <mergeCell ref="D4:G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30" customWidth="1" min="3" max="3"/>
    <col width="30" customWidth="1" min="4" max="4"/>
    <col width="30" customWidth="1" min="5" max="5"/>
  </cols>
  <sheetData>
    <row r="1" ht="35" customHeight="1">
      <c r="A1" s="1" t="inlineStr">
        <is>
          <t>FORISA ABADIJAYA SEHASTERA (FAS) - PERSPECTIVE &amp; SERVICES</t>
        </is>
      </c>
    </row>
    <row r="3">
      <c r="A3" s="39" t="inlineStr">
        <is>
          <t>“HR should not operate as an administrative function isolated from the business. A healthy HR function creates clarity in roles, consistency in decisions, accountability in performance, and discipline in organizational execution.”</t>
        </is>
      </c>
    </row>
    <row r="4"/>
    <row r="6" ht="24" customHeight="1">
      <c r="A6" s="32" t="inlineStr">
        <is>
          <t>NEED A DEEPER ASSESSMENT? HOW FAS CAN HELP:</t>
        </is>
      </c>
    </row>
    <row r="7" ht="22" customHeight="1">
      <c r="A7" s="5" t="inlineStr">
        <is>
          <t>#</t>
        </is>
      </c>
      <c r="B7" s="33" t="inlineStr">
        <is>
          <t>Service Area</t>
        </is>
      </c>
      <c r="C7" s="33" t="inlineStr">
        <is>
          <t>Description &amp; Value Add</t>
        </is>
      </c>
      <c r="D7" s="22" t="n"/>
      <c r="E7" s="22" t="n"/>
    </row>
    <row r="8" ht="25" customHeight="1">
      <c r="A8" s="7" t="n">
        <v>1</v>
      </c>
      <c r="B8" s="40" t="inlineStr">
        <is>
          <t>HR &amp; Organizational Health Assessment</t>
        </is>
      </c>
      <c r="C8" s="8" t="inlineStr">
        <is>
          <t>Comprehensive diagnostic of your HR architecture, culture, and compliance risks.</t>
        </is>
      </c>
      <c r="D8" s="37" t="n"/>
      <c r="E8" s="37" t="n"/>
    </row>
    <row r="9" ht="25" customHeight="1">
      <c r="A9" s="10" t="n">
        <v>2</v>
      </c>
      <c r="B9" s="41" t="inlineStr">
        <is>
          <t>Organizational Structure Review</t>
        </is>
      </c>
      <c r="C9" s="11" t="inlineStr">
        <is>
          <t>Optimizing reporting lines, span of control, and eliminating operational redundancies.</t>
        </is>
      </c>
      <c r="D9" s="35" t="n"/>
      <c r="E9" s="35" t="n"/>
    </row>
    <row r="10" ht="25" customHeight="1">
      <c r="A10" s="7" t="n">
        <v>3</v>
      </c>
      <c r="B10" s="40" t="inlineStr">
        <is>
          <t>KPI &amp; Performance Management</t>
        </is>
      </c>
      <c r="C10" s="8" t="inlineStr">
        <is>
          <t>Designing balanced scorecard and objective KPI frameworks tied to business growth.</t>
        </is>
      </c>
      <c r="D10" s="37" t="n"/>
      <c r="E10" s="37" t="n"/>
    </row>
    <row r="11" ht="25" customHeight="1">
      <c r="A11" s="10" t="n">
        <v>4</v>
      </c>
      <c r="B11" s="41" t="inlineStr">
        <is>
          <t>HR Policy &amp; SOP Development</t>
        </is>
      </c>
      <c r="C11" s="11" t="inlineStr">
        <is>
          <t>Creating practical, compliant, and enforceable HR policies and operational procedures.</t>
        </is>
      </c>
      <c r="D11" s="35" t="n"/>
      <c r="E11" s="35" t="n"/>
    </row>
    <row r="12" ht="25" customHeight="1">
      <c r="A12" s="7" t="n">
        <v>5</v>
      </c>
      <c r="B12" s="40" t="inlineStr">
        <is>
          <t>Governance &amp; Accountability Framework</t>
        </is>
      </c>
      <c r="C12" s="8" t="inlineStr">
        <is>
          <t>Establishing governance structures that drive accountability and execution discipline.</t>
        </is>
      </c>
      <c r="D12" s="37" t="n"/>
      <c r="E12" s="37" t="n"/>
    </row>
    <row r="13" ht="25" customHeight="1">
      <c r="A13" s="10" t="n">
        <v>6</v>
      </c>
      <c r="B13" s="41" t="inlineStr">
        <is>
          <t>Authority Matrix Development</t>
        </is>
      </c>
      <c r="C13" s="11" t="inlineStr">
        <is>
          <t>Defining clear decision-making rights (Delegation of Authority) across all management levels.</t>
        </is>
      </c>
      <c r="D13" s="35" t="n"/>
      <c r="E13" s="35" t="n"/>
    </row>
    <row r="14" ht="25" customHeight="1">
      <c r="A14" s="7" t="n">
        <v>7</v>
      </c>
      <c r="B14" s="40" t="inlineStr">
        <is>
          <t>Leadership Alignment</t>
        </is>
      </c>
      <c r="C14" s="8" t="inlineStr">
        <is>
          <t>Aligning executive leadership around shared strategy, values, and management standards.</t>
        </is>
      </c>
      <c r="D14" s="37" t="n"/>
      <c r="E14" s="37" t="n"/>
    </row>
    <row r="15" ht="25" customHeight="1">
      <c r="A15" s="10" t="n">
        <v>8</v>
      </c>
      <c r="B15" s="41" t="inlineStr">
        <is>
          <t>Organizational Effectiveness Improvement</t>
        </is>
      </c>
      <c r="C15" s="11" t="inlineStr">
        <is>
          <t>Transforming HR into a strategic business enabler for sustainable impact.</t>
        </is>
      </c>
      <c r="D15" s="35" t="n"/>
      <c r="E15" s="35" t="n"/>
    </row>
    <row r="18">
      <c r="A18" s="42" t="inlineStr">
        <is>
          <t>FORISA ABADIJAYA SEHASTERA — Governance. People. Performance. Impact.</t>
        </is>
      </c>
    </row>
  </sheetData>
  <mergeCells count="13">
    <mergeCell ref="A3:E4"/>
    <mergeCell ref="C11:E11"/>
    <mergeCell ref="C14:E14"/>
    <mergeCell ref="C13:E13"/>
    <mergeCell ref="C15:E15"/>
    <mergeCell ref="C8:E8"/>
    <mergeCell ref="C9:E9"/>
    <mergeCell ref="A1:E1"/>
    <mergeCell ref="C7:E7"/>
    <mergeCell ref="A6:E6"/>
    <mergeCell ref="C12:E12"/>
    <mergeCell ref="A18:E18"/>
    <mergeCell ref="C10:E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2026-10-03T08:19:47Z</dcterms:created>
  <dcterms:modified xmlns:dcterms="http://purl.org/dc/terms/" xmlns:xsi="http://www.w3.org/2001/XMLSchema-instance" xsi:type="dcterms:W3CDTF">2026-10-03T08:19:48Z</dcterms:modified>
</cp:coreProperties>
</file>