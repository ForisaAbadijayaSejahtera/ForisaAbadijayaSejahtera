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635" windowHeight="7500" firstSheet="1" activeTab="1"/>
  </bookViews>
  <sheets>
    <sheet name="Compliance Readiness Checklist" sheetId="1" r:id="rId1"/>
    <sheet name="Dashboard &amp; Report" sheetId="2" r:id="rId2"/>
    <sheet name="Action Roadmap" sheetId="3" r:id="rId3"/>
    <sheet name="FAS Perspective &amp; Suppor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<sst xmlns="http://schemas.openxmlformats.org/spreadsheetml/2006/main" count="255" uniqueCount="204">
  <si>
    <t>COMPLIANCE READINESS CHECKLIST</t>
  </si>
  <si>
    <t>Assess Organizational Readiness to Identify, Manage, Monitor, and Respond to Regulatory Requirements | Forisa Abadijaya Sejahtera</t>
  </si>
  <si>
    <t>SCORING GUIDE: 1 = Not in place | 2 = Partially in place | 3 = Defined, needs improvement | 4 = Well established | 5 = Mature &amp; continuously improved</t>
  </si>
  <si>
    <t>01. REGULATORY IDENTIFICATION</t>
  </si>
  <si>
    <t>#</t>
  </si>
  <si>
    <t>Assessment Statement</t>
  </si>
  <si>
    <t>Score (1-5)</t>
  </si>
  <si>
    <t>Max</t>
  </si>
  <si>
    <t>Status / Notes</t>
  </si>
  <si>
    <t>The organization has identified the laws and regulations relevant to its business activities.</t>
  </si>
  <si>
    <t>Regulatory requirements are mapped to the organization's business processes.</t>
  </si>
  <si>
    <t>Responsibility for monitoring regulatory developments is clearly assigned.</t>
  </si>
  <si>
    <t>Regulatory changes are monitored on a regular basis.</t>
  </si>
  <si>
    <t>The organization evaluates how regulatory changes may affect its operations.</t>
  </si>
  <si>
    <t>Applicable licenses, registrations, and permits are identified and documented.</t>
  </si>
  <si>
    <t>Regulatory obligations are reviewed when there are significant changes to the business.</t>
  </si>
  <si>
    <t>Management has visibility over significant regulatory obligations.</t>
  </si>
  <si>
    <t>SECTION TOTAL</t>
  </si>
  <si>
    <t>02. COMPLIANCE RESPONSIBILITY &amp; GOVERNANCE</t>
  </si>
  <si>
    <t>Compliance responsibilities are clearly assigned.</t>
  </si>
  <si>
    <t>Employees understand the compliance requirements relevant to their roles.</t>
  </si>
  <si>
    <t>Management provides clear direction regarding compliance expectations.</t>
  </si>
  <si>
    <t>Compliance issues can be escalated to the appropriate level of management.</t>
  </si>
  <si>
    <t>Compliance responsibilities are included in relevant job roles.</t>
  </si>
  <si>
    <t>There is clear accountability when compliance requirements are not fulfilled.</t>
  </si>
  <si>
    <t>Compliance is integrated into business decision-making.</t>
  </si>
  <si>
    <t>Compliance responsibilities do not depend solely on one individual.</t>
  </si>
  <si>
    <t>03. POLICIES &amp; PROCEDURES</t>
  </si>
  <si>
    <t>Key compliance policies are formally documented.</t>
  </si>
  <si>
    <t>Policies are aligned with applicable requirements.</t>
  </si>
  <si>
    <t>Relevant procedures are documented and accessible to employees.</t>
  </si>
  <si>
    <t>Policies and procedures are reviewed periodically.</t>
  </si>
  <si>
    <t>Changes in regulations are reflected in relevant policies and procedures.</t>
  </si>
  <si>
    <t>Employees receive appropriate communication or training regarding important policies.</t>
  </si>
  <si>
    <t>Policy exceptions require appropriate authorization.</t>
  </si>
  <si>
    <t>Management monitors whether policies are actually implemented in practice.</t>
  </si>
  <si>
    <t>04. DOCUMENTATION &amp; RECORD KEEPING</t>
  </si>
  <si>
    <t>Required compliance documents are properly maintained.</t>
  </si>
  <si>
    <t>Licenses, permits, certificates, and registrations are monitored for validity.</t>
  </si>
  <si>
    <t>Important compliance records can be retrieved when required.</t>
  </si>
  <si>
    <t>Document ownership and responsibility are clearly defined.</t>
  </si>
  <si>
    <t>Document retention requirements are established where applicable.</t>
  </si>
  <si>
    <t>Compliance records are protected from unauthorized access or alteration.</t>
  </si>
  <si>
    <t>Expired or obsolete documents are appropriately controlled.</t>
  </si>
  <si>
    <t>The organization can demonstrate evidence of compliance when required.</t>
  </si>
  <si>
    <t>05. COMPLIANCE MONITORING</t>
  </si>
  <si>
    <t>Compliance requirements are periodically reviewed.</t>
  </si>
  <si>
    <t>Compliance monitoring activities have defined responsibilities.</t>
  </si>
  <si>
    <t>Compliance findings are documented.</t>
  </si>
  <si>
    <t>Compliance gaps are assigned to responsible owners.</t>
  </si>
  <si>
    <t>Corrective actions are tracked until completion.</t>
  </si>
  <si>
    <t>Management receives reports on significant compliance issues.</t>
  </si>
  <si>
    <t>Repeated compliance issues are analyzed to identify root causes.</t>
  </si>
  <si>
    <t>Compliance monitoring results are used to improve business processes.</t>
  </si>
  <si>
    <t>06. EMPLOYEE &amp; HR COMPLIANCE</t>
  </si>
  <si>
    <t>Employee documentation is properly maintained.</t>
  </si>
  <si>
    <t>Employment arrangements are documented appropriately.</t>
  </si>
  <si>
    <t>Working hours, attendance, leave, and absence are properly managed.</t>
  </si>
  <si>
    <t>Employee rights and obligations are clearly communicated.</t>
  </si>
  <si>
    <t>Workplace rules and disciplinary procedures are documented.</t>
  </si>
  <si>
    <t>Required employment-related obligations are monitored.</t>
  </si>
  <si>
    <t>Employee-related compliance issues are documented and addressed consistently.</t>
  </si>
  <si>
    <t>HR practices are periodically reviewed for compliance risks.</t>
  </si>
  <si>
    <t>07. ETHICS, INTEGRITY &amp; CONFLICT OF INTEREST</t>
  </si>
  <si>
    <t>The organization has clearly communicated standards of ethical conduct.</t>
  </si>
  <si>
    <t>Employees understand expected standards of integrity.</t>
  </si>
  <si>
    <t>Conflicts of interest are identified and managed.</t>
  </si>
  <si>
    <t>Employees know how to report suspected misconduct.</t>
  </si>
  <si>
    <t>Reports of misconduct are handled through an appropriate process.</t>
  </si>
  <si>
    <t>Management demonstrates ethical behavior through its own actions.</t>
  </si>
  <si>
    <t>Compliance expectations apply consistently across organizational levels.</t>
  </si>
  <si>
    <t>The organization takes appropriate action when ethical standards are violated.</t>
  </si>
  <si>
    <t>08. INCIDENT RESPONSE &amp; CONTINUOUS IMPROVEMENT</t>
  </si>
  <si>
    <t>The organization has a process for responding to compliance incidents.</t>
  </si>
  <si>
    <t>Significant compliance incidents are escalated appropriately.</t>
  </si>
  <si>
    <t>Compliance incidents are documented and investigated.</t>
  </si>
  <si>
    <t>Corrective and preventive actions are established when appropriate.</t>
  </si>
  <si>
    <t>Management reviews the root causes of significant compliance failures.</t>
  </si>
  <si>
    <t>Lessons learned from incidents are communicated to relevant stakeholders.</t>
  </si>
  <si>
    <t>Compliance processes are improved based on findings and incidents.</t>
  </si>
  <si>
    <t>Management periodically evaluates the overall effectiveness of its compliance framework.</t>
  </si>
  <si>
    <t>GRAND TOTAL COMPLIANCE READINESS SCORE</t>
  </si>
  <si>
    <t>COMPLIANCE READINESS EXECUTIVE DASHBOARD</t>
  </si>
  <si>
    <t>Compliance Readiness Summary &amp; Module Breakdown</t>
  </si>
  <si>
    <t>TOTAL READINESS SCORE</t>
  </si>
  <si>
    <t>READINESS LEVEL</t>
  </si>
  <si>
    <t>OVERALL COMPLIANCE %</t>
  </si>
  <si>
    <t>Compliance Area Breakdown</t>
  </si>
  <si>
    <t>Readiness Level Scale</t>
  </si>
  <si>
    <t>Module #</t>
  </si>
  <si>
    <t>Compliance Area</t>
  </si>
  <si>
    <t>Score</t>
  </si>
  <si>
    <t>% Achieved</t>
  </si>
  <si>
    <t>Readiness Status</t>
  </si>
  <si>
    <t>Score Range</t>
  </si>
  <si>
    <t>Readiness Level</t>
  </si>
  <si>
    <t>General Interpretation</t>
  </si>
  <si>
    <t>01</t>
  </si>
  <si>
    <t>REGULATORY IDENTIFICATION</t>
  </si>
  <si>
    <t>256 – 320</t>
  </si>
  <si>
    <t>Strong Readiness</t>
  </si>
  <si>
    <t>Core compliance practices are generally established, documented, monitored, and consistently implemented.</t>
  </si>
  <si>
    <t>02</t>
  </si>
  <si>
    <t>COMPLIANCE RESPONSIBILITY &amp; GOVERNANCE</t>
  </si>
  <si>
    <t>192 – 255</t>
  </si>
  <si>
    <t>Developing Readiness</t>
  </si>
  <si>
    <t>Key compliance mechanisms exist, but several areas require stronger consistency, ownership, or monitoring.</t>
  </si>
  <si>
    <t>03</t>
  </si>
  <si>
    <t>POLICIES &amp; PROCEDURES</t>
  </si>
  <si>
    <t>128 – 191</t>
  </si>
  <si>
    <t>Needs Attention</t>
  </si>
  <si>
    <t>Significant compliance gaps may exist and should be prioritized based on regulatory and business impact.</t>
  </si>
  <si>
    <t>04</t>
  </si>
  <si>
    <t>DOCUMENTATION &amp; RECORD KEEPING</t>
  </si>
  <si>
    <t>64 – 127</t>
  </si>
  <si>
    <t>High Exposure</t>
  </si>
  <si>
    <t>Compliance practices may be largely reactive, fragmented, or dependent on individuals, creating significant potential exposure.</t>
  </si>
  <si>
    <t>05</t>
  </si>
  <si>
    <t>COMPLIANCE MONITORING</t>
  </si>
  <si>
    <t>06</t>
  </si>
  <si>
    <t>EMPLOYEE &amp; HR COMPLIANCE</t>
  </si>
  <si>
    <t>07</t>
  </si>
  <si>
    <t>ETHICS, INTEGRITY &amp; CONFLICT OF INTEREST</t>
  </si>
  <si>
    <t>08</t>
  </si>
  <si>
    <t>INCIDENT RESPONSE &amp; CONTINUOUS IMPROVEMENT</t>
  </si>
  <si>
    <t>COMPLIANCE ROADMAP &amp; MANAGEMENT REFLECTION</t>
  </si>
  <si>
    <t>MANAGEMENT REFLECTION QUESTIONS</t>
  </si>
  <si>
    <t>Management Reflection Question</t>
  </si>
  <si>
    <t>Context &amp; Focus Area</t>
  </si>
  <si>
    <t>Management Assessment &amp; Discussion Notes</t>
  </si>
  <si>
    <t>What are our most critical compliance obligations?</t>
  </si>
  <si>
    <t>Identify requirements that could have the greatest impact if not fulfilled.</t>
  </si>
  <si>
    <t>[ Enter management reflection notes here ]</t>
  </si>
  <si>
    <t>Which requirements do we have difficulty demonstrating?</t>
  </si>
  <si>
    <t>Ensure the organization can provide appropriate evidence when required.</t>
  </si>
  <si>
    <t>Where are compliance responsibilities unclear?</t>
  </si>
  <si>
    <t>Identify obligations that do not have a clearly assigned owner.</t>
  </si>
  <si>
    <t>Which compliance processes depend too heavily on individuals?</t>
  </si>
  <si>
    <t>Ensure compliance system continues to function when key personnel change.</t>
  </si>
  <si>
    <t>What happens when a compliance issue is identified?</t>
  </si>
  <si>
    <t>Assess clarity of escalation, investigation, corrective action, and follow-up.</t>
  </si>
  <si>
    <t>FROM COMPLIANCE CHECK TO ACTION: IMPROVEMENT ROADMAP</t>
  </si>
  <si>
    <t>Requirement</t>
  </si>
  <si>
    <t>Compliance Gap</t>
  </si>
  <si>
    <t>Risk / Impact</t>
  </si>
  <si>
    <t>Root Cause</t>
  </si>
  <si>
    <t>Corrective Action</t>
  </si>
  <si>
    <t>Responsible Owner</t>
  </si>
  <si>
    <t>Deadline</t>
  </si>
  <si>
    <t>Evidence of Completion</t>
  </si>
  <si>
    <t>Permit &amp; License Renewal Monitoring</t>
  </si>
  <si>
    <t>Unmonitored operational licenses expiry</t>
  </si>
  <si>
    <t>Fines &amp; operational shutdown risk</t>
  </si>
  <si>
    <t>Lack of central tracking register</t>
  </si>
  <si>
    <t>Establish Automated Permit Register &amp; alerts</t>
  </si>
  <si>
    <t>Legal Compliance</t>
  </si>
  <si>
    <t>Q1 2027</t>
  </si>
  <si>
    <t>Active License Dashboard</t>
  </si>
  <si>
    <t>Data Privacy Compliance</t>
  </si>
  <si>
    <t>Unclear employee consent documentation</t>
  </si>
  <si>
    <t>Regulatory breach &amp; legal exposure</t>
  </si>
  <si>
    <t>Outdated HR onboarding checklists</t>
  </si>
  <si>
    <t>Update HR Onboarding SOP &amp; Privacy Consent</t>
  </si>
  <si>
    <t>HR Lead</t>
  </si>
  <si>
    <t>Q2 2027</t>
  </si>
  <si>
    <t>Signed Consents in Files</t>
  </si>
  <si>
    <t>Whistleblowing &amp; Incident Logging</t>
  </si>
  <si>
    <t>No formal channel to report misconduct</t>
  </si>
  <si>
    <t>Unresolved ethical risks &amp; culture impact</t>
  </si>
  <si>
    <t>Absence of secure reporting system</t>
  </si>
  <si>
    <t>Launch Misconduct Reporting Portal &amp; SOP</t>
  </si>
  <si>
    <t>Internal Audit</t>
  </si>
  <si>
    <t>SOP &amp; Portal Live</t>
  </si>
  <si>
    <t>Regulatory Change Tracking</t>
  </si>
  <si>
    <t>Ad-hoc monitoring of new business laws</t>
  </si>
  <si>
    <t>Non-compliance with updated mandates</t>
  </si>
  <si>
    <t>No designated regulatory monitor</t>
  </si>
  <si>
    <t>Assign regulatory monitor &amp; quarterly review</t>
  </si>
  <si>
    <t>Compliance Officer</t>
  </si>
  <si>
    <t>Quarterly Reg Report</t>
  </si>
  <si>
    <t>FORISA ABADIJAYA SEHASTERA (FAS) - PERSPECTIVE &amp; SERVICES</t>
  </si>
  <si>
    <t>“Compliance is not simply about avoiding violations. It is about building an organization that understands its obligations, manages its risks, maintains evidence, and consistently acts with integrity.
Can we demonstrate that compliance actually works in practice?”</t>
  </si>
  <si>
    <t>NEED A DEEPER COMPLIANCE ASSESSMENT? HOW FAS CAN HELP:</t>
  </si>
  <si>
    <t>Service Area</t>
  </si>
  <si>
    <t>Description &amp; Value Add</t>
  </si>
  <si>
    <t>Compliance Readiness Assessment</t>
  </si>
  <si>
    <t>Comprehensive assessment of your compliance baseline, gap identification, and readiness level.</t>
  </si>
  <si>
    <t>Regulatory Requirement Mapping</t>
  </si>
  <si>
    <t>Mapping applicable laws, regulations, and industry standards to operational business processes.</t>
  </si>
  <si>
    <t>Compliance Governance Framework</t>
  </si>
  <si>
    <t>Designing governance structures, clear roles, and escalation mechanisms for compliance oversight.</t>
  </si>
  <si>
    <t>Policy &amp; SOP Review</t>
  </si>
  <si>
    <t>Evaluating, updating, and aligning internal policies and procedures with regulatory mandates.</t>
  </si>
  <si>
    <t>Compliance Monitoring Framework</t>
  </si>
  <si>
    <t>Building periodic monitoring, tracking, and reporting frameworks for management visibility.</t>
  </si>
  <si>
    <t>Risk &amp; Control Assessment</t>
  </si>
  <si>
    <t>Identifying compliance-related operational risks and designing internal controls to mitigate exposures.</t>
  </si>
  <si>
    <t>HR &amp; Employment Compliance Review</t>
  </si>
  <si>
    <t>Auditing employment agreements, working hours, statutory obligations, and workplace rules.</t>
  </si>
  <si>
    <t>Compliance Improvement Roadmap</t>
  </si>
  <si>
    <t>Formulating actionable, prioritized improvement plans to address compliance gaps effectively.</t>
  </si>
  <si>
    <t>Governance, Risk &amp; Compliance (GRC) Integration</t>
  </si>
  <si>
    <t>Embedding compliance into enterprise governance, risk management, and business decision-making.</t>
  </si>
  <si>
    <t>FORISA ABADIJAYA SEHASTERA — Governance. People. Performance. Impact.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</si>
</sst>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36">
    <font>
      <sz val="11"/>
      <color theme="1"/>
      <name val="Calibri"/>
      <charset val="134"/>
      <scheme val="minor"/>
    </font>
    <font>
      <b/>
      <sz val="18"/>
      <color rgb="FFFFFFFF"/>
      <name val="Calibri"/>
      <charset val="134"/>
    </font>
    <font>
      <i/>
      <sz val="11"/>
      <color rgb="FF0D3B2E"/>
      <name val="Calibri"/>
      <charset val="134"/>
    </font>
    <font>
      <b/>
      <sz val="12"/>
      <color rgb="FFFFFFFF"/>
      <name val="Calibri"/>
      <charset val="134"/>
    </font>
    <font>
      <b/>
      <sz val="11"/>
      <color rgb="FFFFFFFF"/>
      <name val="Calibri"/>
      <charset val="134"/>
    </font>
    <font>
      <sz val="11"/>
      <color rgb="FF2B2D42"/>
      <name val="Calibri"/>
      <charset val="134"/>
    </font>
    <font>
      <b/>
      <sz val="11"/>
      <color rgb="FF2B2D42"/>
      <name val="Calibri"/>
      <charset val="134"/>
    </font>
    <font>
      <b/>
      <sz val="12"/>
      <color rgb="FF0D3B2E"/>
      <name val="Calibri"/>
      <charset val="134"/>
    </font>
    <font>
      <i/>
      <sz val="10"/>
      <color rgb="FF666666"/>
      <name val="Calibri"/>
      <charset val="134"/>
    </font>
    <font>
      <i/>
      <sz val="11"/>
      <color rgb="FFE0E6ED"/>
      <name val="Calibri"/>
      <charset val="134"/>
    </font>
    <font>
      <b/>
      <sz val="10"/>
      <color rgb="FFFFFFFF"/>
      <name val="Calibri"/>
      <charset val="134"/>
    </font>
    <font>
      <b/>
      <sz val="22"/>
      <color rgb="FF0D3B2E"/>
      <name val="Calibri"/>
      <charset val="134"/>
    </font>
    <font>
      <b/>
      <sz val="16"/>
      <color rgb="FF2D6A4F"/>
      <name val="Calibri"/>
      <charset val="134"/>
    </font>
    <font>
      <b/>
      <sz val="14"/>
      <color rgb="FF0D3B2E"/>
      <name val="Calibri"/>
      <charset val="134"/>
    </font>
    <font>
      <b/>
      <sz val="10"/>
      <color rgb="FF0D3B2E"/>
      <name val="Calibri"/>
      <charset val="134"/>
    </font>
    <font>
      <b/>
      <sz val="11"/>
      <color rgb="FF0D3B2E"/>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0D3B2E"/>
        <bgColor rgb="FF0D3B2E"/>
      </patternFill>
    </fill>
    <fill>
      <patternFill patternType="solid">
        <fgColor rgb="FFE2ECE9"/>
        <bgColor rgb="FFE2ECE9"/>
      </patternFill>
    </fill>
    <fill>
      <patternFill patternType="solid">
        <fgColor rgb="FF165B46"/>
        <bgColor rgb="FF165B46"/>
      </patternFill>
    </fill>
    <fill>
      <patternFill patternType="solid">
        <fgColor rgb="FF2D6A4F"/>
        <bgColor rgb="FF2D6A4F"/>
      </patternFill>
    </fill>
    <fill>
      <patternFill patternType="solid">
        <fgColor rgb="FFF4F7F6"/>
        <bgColor rgb="FFF4F7F6"/>
      </patternFill>
    </fill>
    <fill>
      <patternFill patternType="solid">
        <fgColor rgb="FFF1F5F4"/>
        <bgColor rgb="FFF1F5F4"/>
      </patternFill>
    </fill>
    <fill>
      <patternFill patternType="solid">
        <fgColor rgb="FFE5ECE9"/>
        <bgColor rgb="FFE5ECE9"/>
      </patternFill>
    </fill>
    <fill>
      <patternFill patternType="solid">
        <fgColor rgb="FFC8D6D2"/>
        <bgColor rgb="FFC8D6D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3DEDC"/>
      </left>
      <right style="thin">
        <color rgb="FFD3DEDC"/>
      </right>
      <top style="thin">
        <color rgb="FFD3DEDC"/>
      </top>
      <bottom style="thin">
        <color rgb="FFD3DEDC"/>
      </bottom>
      <diagonal/>
    </border>
    <border>
      <left style="thin">
        <color rgb="FFD3DEDC"/>
      </left>
      <right style="thin">
        <color rgb="FFD3DEDC"/>
      </right>
      <top style="thin">
        <color rgb="FFD3DEDC"/>
      </top>
      <bottom style="double">
        <color rgb="FF0D3B2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6" fillId="0" borderId="0" applyFont="0" applyFill="0" applyBorder="0" applyAlignment="0" applyProtection="0">
      <alignment vertical="center"/>
    </xf>
    <xf numFmtId="177" fontId="16" fillId="0" borderId="0" applyFont="0" applyFill="0" applyBorder="0" applyAlignment="0" applyProtection="0">
      <alignment vertical="center"/>
    </xf>
    <xf numFmtId="9" fontId="16" fillId="0" borderId="0" applyFont="0" applyFill="0" applyBorder="0" applyAlignment="0" applyProtection="0">
      <alignment vertical="center"/>
    </xf>
    <xf numFmtId="178" fontId="16" fillId="0" borderId="0" applyFont="0" applyFill="0" applyBorder="0" applyAlignment="0" applyProtection="0">
      <alignment vertical="center"/>
    </xf>
    <xf numFmtId="179" fontId="16"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6" fillId="10" borderId="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0" applyNumberFormat="0" applyFill="0" applyBorder="0" applyAlignment="0" applyProtection="0">
      <alignment vertical="center"/>
    </xf>
    <xf numFmtId="0" fontId="25" fillId="11" borderId="6" applyNumberFormat="0" applyAlignment="0" applyProtection="0">
      <alignment vertical="center"/>
    </xf>
    <xf numFmtId="0" fontId="26" fillId="12" borderId="7" applyNumberFormat="0" applyAlignment="0" applyProtection="0">
      <alignment vertical="center"/>
    </xf>
    <xf numFmtId="0" fontId="27" fillId="12" borderId="6" applyNumberFormat="0" applyAlignment="0" applyProtection="0">
      <alignment vertical="center"/>
    </xf>
    <xf numFmtId="0" fontId="28" fillId="13" borderId="8" applyNumberFormat="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5" fillId="38" borderId="0" applyNumberFormat="0" applyBorder="0" applyAlignment="0" applyProtection="0">
      <alignment vertical="center"/>
    </xf>
    <xf numFmtId="0" fontId="35" fillId="39" borderId="0" applyNumberFormat="0" applyBorder="0" applyAlignment="0" applyProtection="0">
      <alignment vertical="center"/>
    </xf>
    <xf numFmtId="0" fontId="34" fillId="40" borderId="0" applyNumberFormat="0" applyBorder="0" applyAlignment="0" applyProtection="0">
      <alignment vertical="center"/>
    </xf>
  </cellStyleXfs>
  <cellXfs count="43">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4" borderId="0" xfId="0" applyFont="1" applyFill="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xf numFmtId="0" fontId="0" fillId="0" borderId="1" xfId="0" applyBorder="1"/>
    <xf numFmtId="0" fontId="5" fillId="0" borderId="1" xfId="0" applyFont="1" applyBorder="1" applyAlignment="1">
      <alignment horizontal="center"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xf numFmtId="0" fontId="5"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6" borderId="1" xfId="0" applyFont="1" applyFill="1" applyBorder="1"/>
    <xf numFmtId="0" fontId="7" fillId="0" borderId="0" xfId="0" applyFont="1" applyAlignment="1">
      <alignment horizontal="center" vertical="center" wrapText="1"/>
    </xf>
    <xf numFmtId="0" fontId="4" fillId="5"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8" fillId="0" borderId="1" xfId="0" applyFont="1" applyBorder="1" applyAlignment="1">
      <alignment horizontal="left" vertical="center" wrapText="1"/>
    </xf>
    <xf numFmtId="0" fontId="5" fillId="0" borderId="1" xfId="0" applyFont="1" applyBorder="1" applyAlignment="1">
      <alignment vertical="center" wrapText="1"/>
    </xf>
    <xf numFmtId="0" fontId="5" fillId="6" borderId="1" xfId="0" applyFont="1" applyFill="1" applyBorder="1" applyAlignment="1">
      <alignment vertical="center" wrapText="1"/>
    </xf>
    <xf numFmtId="0" fontId="9" fillId="2" borderId="0" xfId="0" applyFont="1" applyFill="1" applyAlignment="1">
      <alignment horizontal="center" vertical="center" wrapText="1"/>
    </xf>
    <xf numFmtId="0" fontId="10" fillId="4"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180" fontId="11" fillId="7" borderId="1" xfId="0" applyNumberFormat="1" applyFont="1" applyFill="1" applyBorder="1" applyAlignment="1">
      <alignment horizontal="center" vertical="center" wrapText="1"/>
    </xf>
    <xf numFmtId="0" fontId="13" fillId="0" borderId="0" xfId="0" applyFont="1"/>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180" fontId="5" fillId="0" borderId="1" xfId="0" applyNumberFormat="1" applyFont="1" applyBorder="1" applyAlignment="1">
      <alignment horizontal="center" vertical="center" wrapText="1"/>
    </xf>
    <xf numFmtId="180" fontId="5" fillId="6" borderId="1" xfId="0" applyNumberFormat="1" applyFont="1" applyFill="1" applyBorder="1" applyAlignment="1">
      <alignment horizontal="center" vertical="center" wrapText="1"/>
    </xf>
    <xf numFmtId="0" fontId="14" fillId="3" borderId="0" xfId="0" applyFont="1" applyFill="1" applyAlignment="1">
      <alignment horizontal="center" vertical="center" wrapText="1"/>
    </xf>
    <xf numFmtId="0" fontId="3" fillId="4" borderId="0" xfId="0" applyFont="1" applyFill="1" applyAlignment="1">
      <alignment horizontal="left" vertical="center" indent="1"/>
    </xf>
    <xf numFmtId="0" fontId="6"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0" fontId="0" fillId="8" borderId="2" xfId="0" applyFill="1" applyBorder="1"/>
    <xf numFmtId="0" fontId="6" fillId="8" borderId="2" xfId="0" applyFont="1" applyFill="1" applyBorder="1" applyAlignment="1">
      <alignment horizontal="right" vertical="center"/>
    </xf>
    <xf numFmtId="0" fontId="6" fillId="8" borderId="2" xfId="0" applyFont="1" applyFill="1" applyBorder="1" applyAlignment="1">
      <alignment horizontal="center" vertical="center" wrapText="1"/>
    </xf>
    <xf numFmtId="180" fontId="6" fillId="8" borderId="2" xfId="0" applyNumberFormat="1" applyFont="1" applyFill="1" applyBorder="1" applyAlignment="1">
      <alignment horizontal="center" vertical="center" wrapText="1"/>
    </xf>
    <xf numFmtId="0" fontId="15" fillId="9" borderId="2" xfId="0" applyFont="1" applyFill="1" applyBorder="1" applyAlignment="1">
      <alignment horizontal="right" vertical="center"/>
    </xf>
    <xf numFmtId="0" fontId="0" fillId="9" borderId="2" xfId="0" applyFill="1" applyBorder="1"/>
    <xf numFmtId="0" fontId="7" fillId="9" borderId="2" xfId="0" applyFont="1" applyFill="1" applyBorder="1" applyAlignment="1">
      <alignment horizontal="center" vertical="center" wrapText="1"/>
    </xf>
    <xf numFmtId="180" fontId="7" fillId="9" borderId="2" xfId="0" applyNumberFormat="1"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Compliance Readiness Score by Module</a:t>
            </a:r>
          </a:p>
        </c:rich>
      </c:tx>
      <c:layout/>
      <c:overlay val="0"/>
    </c:title>
    <c:autoTitleDeleted val="0"/>
    <c:plotArea>
      <c:layout/>
      <c:barChart>
        <c:barDir val="col"/>
        <c:grouping val="clustered"/>
        <c:varyColors val="0"/>
        <c:ser>
          <c:idx val="0"/>
          <c:order val="0"/>
          <c:tx>
            <c:strRef>
              <c:f>'Dashboard &amp; Report'!$C$8</c:f>
              <c:strCache>
                <c:ptCount val="1"/>
                <c:pt idx="0">
                  <c:v>Score</c:v>
                </c:pt>
              </c:strCache>
            </c:strRef>
          </c:tx>
          <c:spPr>
            <a:ln w="9525" cap="flat" cmpd="sng" algn="ctr">
              <a:solidFill>
                <a:schemeClr val="lt1">
                  <a:shade val="95000"/>
                  <a:satMod val="105000"/>
                </a:schemeClr>
              </a:solidFill>
              <a:prstDash val="solid"/>
              <a:round/>
            </a:ln>
          </c:spPr>
          <c:invertIfNegative val="0"/>
          <c:dLbls>
            <c:delete val="1"/>
          </c:dLbls>
          <c:cat>
            <c:strRef>
              <c:f>'Dashboard &amp; Report'!$A$9:$A$16</c:f>
              <c:strCache>
                <c:ptCount val="8"/>
                <c:pt idx="0">
                  <c:v>01</c:v>
                </c:pt>
                <c:pt idx="1">
                  <c:v>02</c:v>
                </c:pt>
                <c:pt idx="2">
                  <c:v>03</c:v>
                </c:pt>
                <c:pt idx="3">
                  <c:v>04</c:v>
                </c:pt>
                <c:pt idx="4">
                  <c:v>05</c:v>
                </c:pt>
                <c:pt idx="5">
                  <c:v>06</c:v>
                </c:pt>
                <c:pt idx="6">
                  <c:v>07</c:v>
                </c:pt>
                <c:pt idx="7">
                  <c:v>08</c:v>
                </c:pt>
              </c:strCache>
            </c:strRef>
          </c:cat>
          <c:val>
            <c:numRef>
              <c:f>'Dashboard &amp; Report'!$C$9:$C$16</c:f>
              <c:numCache>
                <c:formatCode>General</c:formatCode>
                <c:ptCount val="8"/>
                <c:pt idx="0">
                  <c:v>0</c:v>
                </c:pt>
                <c:pt idx="1">
                  <c:v>0</c:v>
                </c:pt>
                <c:pt idx="2">
                  <c:v>0</c:v>
                </c:pt>
                <c:pt idx="3">
                  <c:v>0</c:v>
                </c:pt>
                <c:pt idx="4">
                  <c:v>0</c:v>
                </c:pt>
                <c:pt idx="5">
                  <c:v>0</c:v>
                </c:pt>
                <c:pt idx="6">
                  <c:v>0</c:v>
                </c:pt>
                <c:pt idx="7">
                  <c:v>0</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Compliance Module</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0"/>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Score (Max 40)</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040383f1-31d3-49d3-b414-018371e04b03}"/>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17</xdr:row>
      <xdr:rowOff>0</xdr:rowOff>
    </xdr:from>
    <xdr:ext cx="5760000" cy="3600000"/>
    <xdr:graphicFrame>
      <xdr:nvGraphicFramePr>
        <xdr:cNvPr id="2" name="Chart 1"/>
        <xdr:cNvGraphicFramePr/>
      </xdr:nvGraphicFramePr>
      <xdr:xfrm>
        <a:off x="0" y="4975225"/>
        <a:ext cx="5759450" cy="359981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3"/>
  <sheetViews>
    <sheetView topLeftCell="A87" workbookViewId="0">
      <selection activeCell="C92" sqref="C92:C99"/>
    </sheetView>
  </sheetViews>
  <sheetFormatPr defaultColWidth="9" defaultRowHeight="15" outlineLevelCol="4"/>
  <cols>
    <col min="1" max="1" width="6" customWidth="1"/>
    <col min="2" max="2" width="75" customWidth="1"/>
    <col min="3" max="3" width="15" customWidth="1"/>
    <col min="4" max="4" width="10" customWidth="1"/>
    <col min="5" max="5" width="20" customWidth="1"/>
  </cols>
  <sheetData>
    <row r="1" ht="35" customHeight="1" spans="1:5">
      <c r="A1" s="1" t="s">
        <v>0</v>
      </c>
    </row>
    <row r="2" ht="20" customHeight="1" spans="1:5">
      <c r="A2" s="21" t="s">
        <v>1</v>
      </c>
    </row>
    <row r="4" ht="24" customHeight="1" spans="1:5">
      <c r="A4" s="31" t="s">
        <v>2</v>
      </c>
    </row>
    <row r="6" ht="24" customHeight="1" spans="1:5">
      <c r="A6" s="32" t="s">
        <v>3</v>
      </c>
    </row>
    <row r="7" ht="20" customHeight="1" spans="1:5">
      <c r="A7" s="4" t="s">
        <v>4</v>
      </c>
      <c r="B7" s="16" t="s">
        <v>5</v>
      </c>
      <c r="C7" s="4" t="s">
        <v>6</v>
      </c>
      <c r="D7" s="4" t="s">
        <v>7</v>
      </c>
      <c r="E7" s="16" t="s">
        <v>8</v>
      </c>
    </row>
    <row r="8" ht="20" customHeight="1" spans="1:5">
      <c r="A8" s="7">
        <v>1</v>
      </c>
      <c r="B8" s="9" t="s">
        <v>9</v>
      </c>
      <c r="C8" s="33"/>
      <c r="D8" s="7">
        <v>5</v>
      </c>
      <c r="E8" s="7" t="str">
        <f t="shared" ref="E8:E15" si="0">IF(C8&gt;=4,"Established",IF(C8&gt;=3,"Needs Work","Risk Area"))</f>
        <v>Risk Area</v>
      </c>
    </row>
    <row r="9" ht="20" customHeight="1" spans="1:5">
      <c r="A9" s="11">
        <v>2</v>
      </c>
      <c r="B9" s="13" t="s">
        <v>10</v>
      </c>
      <c r="C9" s="34"/>
      <c r="D9" s="11">
        <v>5</v>
      </c>
      <c r="E9" s="11" t="str">
        <f t="shared" si="0"/>
        <v>Risk Area</v>
      </c>
    </row>
    <row r="10" ht="20" customHeight="1" spans="1:5">
      <c r="A10" s="7">
        <v>3</v>
      </c>
      <c r="B10" s="9" t="s">
        <v>11</v>
      </c>
      <c r="C10" s="33"/>
      <c r="D10" s="7">
        <v>5</v>
      </c>
      <c r="E10" s="7" t="str">
        <f t="shared" si="0"/>
        <v>Risk Area</v>
      </c>
    </row>
    <row r="11" ht="20" customHeight="1" spans="1:5">
      <c r="A11" s="11">
        <v>4</v>
      </c>
      <c r="B11" s="13" t="s">
        <v>12</v>
      </c>
      <c r="C11" s="34"/>
      <c r="D11" s="11">
        <v>5</v>
      </c>
      <c r="E11" s="11" t="str">
        <f t="shared" si="0"/>
        <v>Risk Area</v>
      </c>
    </row>
    <row r="12" ht="20" customHeight="1" spans="1:5">
      <c r="A12" s="7">
        <v>5</v>
      </c>
      <c r="B12" s="9" t="s">
        <v>13</v>
      </c>
      <c r="C12" s="33"/>
      <c r="D12" s="7">
        <v>5</v>
      </c>
      <c r="E12" s="7" t="str">
        <f t="shared" si="0"/>
        <v>Risk Area</v>
      </c>
    </row>
    <row r="13" ht="20" customHeight="1" spans="1:5">
      <c r="A13" s="11">
        <v>6</v>
      </c>
      <c r="B13" s="13" t="s">
        <v>14</v>
      </c>
      <c r="C13" s="34"/>
      <c r="D13" s="11">
        <v>5</v>
      </c>
      <c r="E13" s="11" t="str">
        <f t="shared" si="0"/>
        <v>Risk Area</v>
      </c>
    </row>
    <row r="14" ht="20" customHeight="1" spans="1:5">
      <c r="A14" s="7">
        <v>7</v>
      </c>
      <c r="B14" s="9" t="s">
        <v>15</v>
      </c>
      <c r="C14" s="33"/>
      <c r="D14" s="7">
        <v>5</v>
      </c>
      <c r="E14" s="7" t="str">
        <f t="shared" si="0"/>
        <v>Risk Area</v>
      </c>
    </row>
    <row r="15" ht="20" customHeight="1" spans="1:5">
      <c r="A15" s="11">
        <v>8</v>
      </c>
      <c r="B15" s="13" t="s">
        <v>16</v>
      </c>
      <c r="C15" s="34"/>
      <c r="D15" s="11">
        <v>5</v>
      </c>
      <c r="E15" s="11" t="str">
        <f t="shared" si="0"/>
        <v>Risk Area</v>
      </c>
    </row>
    <row r="16" ht="22" customHeight="1" spans="1:5">
      <c r="A16" s="35"/>
      <c r="B16" s="36" t="s">
        <v>17</v>
      </c>
      <c r="C16" s="37">
        <f>SUM(C8:C15)</f>
        <v>0</v>
      </c>
      <c r="D16" s="37">
        <f>SUM(D8:D15)</f>
        <v>40</v>
      </c>
      <c r="E16" s="38">
        <f>C16/D16</f>
        <v>0</v>
      </c>
    </row>
    <row r="17" ht="15.75"/>
    <row r="18" ht="24" customHeight="1" spans="1:5">
      <c r="A18" s="32" t="s">
        <v>18</v>
      </c>
    </row>
    <row r="19" ht="20" customHeight="1" spans="1:5">
      <c r="A19" s="4" t="s">
        <v>4</v>
      </c>
      <c r="B19" s="16" t="s">
        <v>5</v>
      </c>
      <c r="C19" s="4" t="s">
        <v>6</v>
      </c>
      <c r="D19" s="4" t="s">
        <v>7</v>
      </c>
      <c r="E19" s="16" t="s">
        <v>8</v>
      </c>
    </row>
    <row r="20" ht="20" customHeight="1" spans="1:5">
      <c r="A20" s="7">
        <v>9</v>
      </c>
      <c r="B20" s="9" t="s">
        <v>19</v>
      </c>
      <c r="C20" s="33"/>
      <c r="D20" s="7">
        <v>5</v>
      </c>
      <c r="E20" s="7" t="str">
        <f t="shared" ref="E20:E27" si="1">IF(C20&gt;=4,"Established",IF(C20&gt;=3,"Needs Work","Risk Area"))</f>
        <v>Risk Area</v>
      </c>
    </row>
    <row r="21" ht="20" customHeight="1" spans="1:5">
      <c r="A21" s="11">
        <v>10</v>
      </c>
      <c r="B21" s="13" t="s">
        <v>20</v>
      </c>
      <c r="C21" s="34"/>
      <c r="D21" s="11">
        <v>5</v>
      </c>
      <c r="E21" s="11" t="str">
        <f t="shared" si="1"/>
        <v>Risk Area</v>
      </c>
    </row>
    <row r="22" ht="20" customHeight="1" spans="1:5">
      <c r="A22" s="7">
        <v>11</v>
      </c>
      <c r="B22" s="9" t="s">
        <v>21</v>
      </c>
      <c r="C22" s="33"/>
      <c r="D22" s="7">
        <v>5</v>
      </c>
      <c r="E22" s="7" t="str">
        <f t="shared" si="1"/>
        <v>Risk Area</v>
      </c>
    </row>
    <row r="23" ht="20" customHeight="1" spans="1:5">
      <c r="A23" s="11">
        <v>12</v>
      </c>
      <c r="B23" s="13" t="s">
        <v>22</v>
      </c>
      <c r="C23" s="34"/>
      <c r="D23" s="11">
        <v>5</v>
      </c>
      <c r="E23" s="11" t="str">
        <f t="shared" si="1"/>
        <v>Risk Area</v>
      </c>
    </row>
    <row r="24" ht="20" customHeight="1" spans="1:5">
      <c r="A24" s="7">
        <v>13</v>
      </c>
      <c r="B24" s="9" t="s">
        <v>23</v>
      </c>
      <c r="C24" s="33"/>
      <c r="D24" s="7">
        <v>5</v>
      </c>
      <c r="E24" s="7" t="str">
        <f t="shared" si="1"/>
        <v>Risk Area</v>
      </c>
    </row>
    <row r="25" ht="20" customHeight="1" spans="1:5">
      <c r="A25" s="11">
        <v>14</v>
      </c>
      <c r="B25" s="13" t="s">
        <v>24</v>
      </c>
      <c r="C25" s="34"/>
      <c r="D25" s="11">
        <v>5</v>
      </c>
      <c r="E25" s="11" t="str">
        <f t="shared" si="1"/>
        <v>Risk Area</v>
      </c>
    </row>
    <row r="26" ht="20" customHeight="1" spans="1:5">
      <c r="A26" s="7">
        <v>15</v>
      </c>
      <c r="B26" s="9" t="s">
        <v>25</v>
      </c>
      <c r="C26" s="33"/>
      <c r="D26" s="7">
        <v>5</v>
      </c>
      <c r="E26" s="7" t="str">
        <f t="shared" si="1"/>
        <v>Risk Area</v>
      </c>
    </row>
    <row r="27" ht="20" customHeight="1" spans="1:5">
      <c r="A27" s="11">
        <v>16</v>
      </c>
      <c r="B27" s="13" t="s">
        <v>26</v>
      </c>
      <c r="C27" s="34"/>
      <c r="D27" s="11">
        <v>5</v>
      </c>
      <c r="E27" s="11" t="str">
        <f t="shared" si="1"/>
        <v>Risk Area</v>
      </c>
    </row>
    <row r="28" ht="22" customHeight="1" spans="1:5">
      <c r="A28" s="35"/>
      <c r="B28" s="36" t="s">
        <v>17</v>
      </c>
      <c r="C28" s="37">
        <f>SUM(C20:C27)</f>
        <v>0</v>
      </c>
      <c r="D28" s="37">
        <f>SUM(D20:D27)</f>
        <v>40</v>
      </c>
      <c r="E28" s="38">
        <f>C28/D28</f>
        <v>0</v>
      </c>
    </row>
    <row r="29" ht="15.75"/>
    <row r="30" ht="24" customHeight="1" spans="1:5">
      <c r="A30" s="32" t="s">
        <v>27</v>
      </c>
    </row>
    <row r="31" ht="20" customHeight="1" spans="1:5">
      <c r="A31" s="4" t="s">
        <v>4</v>
      </c>
      <c r="B31" s="16" t="s">
        <v>5</v>
      </c>
      <c r="C31" s="4" t="s">
        <v>6</v>
      </c>
      <c r="D31" s="4" t="s">
        <v>7</v>
      </c>
      <c r="E31" s="16" t="s">
        <v>8</v>
      </c>
    </row>
    <row r="32" ht="20" customHeight="1" spans="1:5">
      <c r="A32" s="7">
        <v>17</v>
      </c>
      <c r="B32" s="9" t="s">
        <v>28</v>
      </c>
      <c r="C32" s="33"/>
      <c r="D32" s="7">
        <v>5</v>
      </c>
      <c r="E32" s="7" t="str">
        <f t="shared" ref="E32:E39" si="2">IF(C32&gt;=4,"Established",IF(C32&gt;=3,"Needs Work","Risk Area"))</f>
        <v>Risk Area</v>
      </c>
    </row>
    <row r="33" ht="20" customHeight="1" spans="1:5">
      <c r="A33" s="11">
        <v>18</v>
      </c>
      <c r="B33" s="13" t="s">
        <v>29</v>
      </c>
      <c r="C33" s="34"/>
      <c r="D33" s="11">
        <v>5</v>
      </c>
      <c r="E33" s="11" t="str">
        <f t="shared" si="2"/>
        <v>Risk Area</v>
      </c>
    </row>
    <row r="34" ht="20" customHeight="1" spans="1:5">
      <c r="A34" s="7">
        <v>19</v>
      </c>
      <c r="B34" s="9" t="s">
        <v>30</v>
      </c>
      <c r="C34" s="33"/>
      <c r="D34" s="7">
        <v>5</v>
      </c>
      <c r="E34" s="7" t="str">
        <f t="shared" si="2"/>
        <v>Risk Area</v>
      </c>
    </row>
    <row r="35" ht="20" customHeight="1" spans="1:5">
      <c r="A35" s="11">
        <v>20</v>
      </c>
      <c r="B35" s="13" t="s">
        <v>31</v>
      </c>
      <c r="C35" s="34"/>
      <c r="D35" s="11">
        <v>5</v>
      </c>
      <c r="E35" s="11" t="str">
        <f t="shared" si="2"/>
        <v>Risk Area</v>
      </c>
    </row>
    <row r="36" ht="20" customHeight="1" spans="1:5">
      <c r="A36" s="7">
        <v>21</v>
      </c>
      <c r="B36" s="9" t="s">
        <v>32</v>
      </c>
      <c r="C36" s="33"/>
      <c r="D36" s="7">
        <v>5</v>
      </c>
      <c r="E36" s="7" t="str">
        <f t="shared" si="2"/>
        <v>Risk Area</v>
      </c>
    </row>
    <row r="37" ht="20" customHeight="1" spans="1:5">
      <c r="A37" s="11">
        <v>22</v>
      </c>
      <c r="B37" s="13" t="s">
        <v>33</v>
      </c>
      <c r="C37" s="34"/>
      <c r="D37" s="11">
        <v>5</v>
      </c>
      <c r="E37" s="11" t="str">
        <f t="shared" si="2"/>
        <v>Risk Area</v>
      </c>
    </row>
    <row r="38" ht="20" customHeight="1" spans="1:5">
      <c r="A38" s="7">
        <v>23</v>
      </c>
      <c r="B38" s="9" t="s">
        <v>34</v>
      </c>
      <c r="C38" s="33"/>
      <c r="D38" s="7">
        <v>5</v>
      </c>
      <c r="E38" s="7" t="str">
        <f t="shared" si="2"/>
        <v>Risk Area</v>
      </c>
    </row>
    <row r="39" ht="20" customHeight="1" spans="1:5">
      <c r="A39" s="11">
        <v>24</v>
      </c>
      <c r="B39" s="13" t="s">
        <v>35</v>
      </c>
      <c r="C39" s="34"/>
      <c r="D39" s="11">
        <v>5</v>
      </c>
      <c r="E39" s="11" t="str">
        <f t="shared" si="2"/>
        <v>Risk Area</v>
      </c>
    </row>
    <row r="40" ht="22" customHeight="1" spans="1:5">
      <c r="A40" s="35"/>
      <c r="B40" s="36" t="s">
        <v>17</v>
      </c>
      <c r="C40" s="37">
        <f>SUM(C32:C39)</f>
        <v>0</v>
      </c>
      <c r="D40" s="37">
        <f>SUM(D32:D39)</f>
        <v>40</v>
      </c>
      <c r="E40" s="38">
        <f>C40/D40</f>
        <v>0</v>
      </c>
    </row>
    <row r="41" ht="15.75"/>
    <row r="42" ht="24" customHeight="1" spans="1:5">
      <c r="A42" s="32" t="s">
        <v>36</v>
      </c>
    </row>
    <row r="43" ht="20" customHeight="1" spans="1:5">
      <c r="A43" s="4" t="s">
        <v>4</v>
      </c>
      <c r="B43" s="16" t="s">
        <v>5</v>
      </c>
      <c r="C43" s="4" t="s">
        <v>6</v>
      </c>
      <c r="D43" s="4" t="s">
        <v>7</v>
      </c>
      <c r="E43" s="16" t="s">
        <v>8</v>
      </c>
    </row>
    <row r="44" ht="20" customHeight="1" spans="1:5">
      <c r="A44" s="7">
        <v>25</v>
      </c>
      <c r="B44" s="9" t="s">
        <v>37</v>
      </c>
      <c r="C44" s="33"/>
      <c r="D44" s="7">
        <v>5</v>
      </c>
      <c r="E44" s="7" t="str">
        <f t="shared" ref="E44:E51" si="3">IF(C44&gt;=4,"Established",IF(C44&gt;=3,"Needs Work","Risk Area"))</f>
        <v>Risk Area</v>
      </c>
    </row>
    <row r="45" ht="20" customHeight="1" spans="1:5">
      <c r="A45" s="11">
        <v>26</v>
      </c>
      <c r="B45" s="13" t="s">
        <v>38</v>
      </c>
      <c r="C45" s="34"/>
      <c r="D45" s="11">
        <v>5</v>
      </c>
      <c r="E45" s="11" t="str">
        <f t="shared" si="3"/>
        <v>Risk Area</v>
      </c>
    </row>
    <row r="46" ht="20" customHeight="1" spans="1:5">
      <c r="A46" s="7">
        <v>27</v>
      </c>
      <c r="B46" s="9" t="s">
        <v>39</v>
      </c>
      <c r="C46" s="33"/>
      <c r="D46" s="7">
        <v>5</v>
      </c>
      <c r="E46" s="7" t="str">
        <f t="shared" si="3"/>
        <v>Risk Area</v>
      </c>
    </row>
    <row r="47" ht="20" customHeight="1" spans="1:5">
      <c r="A47" s="11">
        <v>28</v>
      </c>
      <c r="B47" s="13" t="s">
        <v>40</v>
      </c>
      <c r="C47" s="34"/>
      <c r="D47" s="11">
        <v>5</v>
      </c>
      <c r="E47" s="11" t="str">
        <f t="shared" si="3"/>
        <v>Risk Area</v>
      </c>
    </row>
    <row r="48" ht="20" customHeight="1" spans="1:5">
      <c r="A48" s="7">
        <v>29</v>
      </c>
      <c r="B48" s="9" t="s">
        <v>41</v>
      </c>
      <c r="C48" s="33"/>
      <c r="D48" s="7">
        <v>5</v>
      </c>
      <c r="E48" s="7" t="str">
        <f t="shared" si="3"/>
        <v>Risk Area</v>
      </c>
    </row>
    <row r="49" ht="20" customHeight="1" spans="1:5">
      <c r="A49" s="11">
        <v>30</v>
      </c>
      <c r="B49" s="13" t="s">
        <v>42</v>
      </c>
      <c r="C49" s="34"/>
      <c r="D49" s="11">
        <v>5</v>
      </c>
      <c r="E49" s="11" t="str">
        <f t="shared" si="3"/>
        <v>Risk Area</v>
      </c>
    </row>
    <row r="50" ht="20" customHeight="1" spans="1:5">
      <c r="A50" s="7">
        <v>31</v>
      </c>
      <c r="B50" s="9" t="s">
        <v>43</v>
      </c>
      <c r="C50" s="33"/>
      <c r="D50" s="7">
        <v>5</v>
      </c>
      <c r="E50" s="7" t="str">
        <f t="shared" si="3"/>
        <v>Risk Area</v>
      </c>
    </row>
    <row r="51" ht="20" customHeight="1" spans="1:5">
      <c r="A51" s="11">
        <v>32</v>
      </c>
      <c r="B51" s="13" t="s">
        <v>44</v>
      </c>
      <c r="C51" s="34"/>
      <c r="D51" s="11">
        <v>5</v>
      </c>
      <c r="E51" s="11" t="str">
        <f t="shared" si="3"/>
        <v>Risk Area</v>
      </c>
    </row>
    <row r="52" ht="22" customHeight="1" spans="1:5">
      <c r="A52" s="35"/>
      <c r="B52" s="36" t="s">
        <v>17</v>
      </c>
      <c r="C52" s="37">
        <f>SUM(C44:C51)</f>
        <v>0</v>
      </c>
      <c r="D52" s="37">
        <f>SUM(D44:D51)</f>
        <v>40</v>
      </c>
      <c r="E52" s="38">
        <f>C52/D52</f>
        <v>0</v>
      </c>
    </row>
    <row r="53" ht="15.75"/>
    <row r="54" ht="24" customHeight="1" spans="1:5">
      <c r="A54" s="32" t="s">
        <v>45</v>
      </c>
    </row>
    <row r="55" ht="20" customHeight="1" spans="1:5">
      <c r="A55" s="4" t="s">
        <v>4</v>
      </c>
      <c r="B55" s="16" t="s">
        <v>5</v>
      </c>
      <c r="C55" s="4" t="s">
        <v>6</v>
      </c>
      <c r="D55" s="4" t="s">
        <v>7</v>
      </c>
      <c r="E55" s="16" t="s">
        <v>8</v>
      </c>
    </row>
    <row r="56" ht="20" customHeight="1" spans="1:5">
      <c r="A56" s="7">
        <v>33</v>
      </c>
      <c r="B56" s="9" t="s">
        <v>46</v>
      </c>
      <c r="C56" s="33"/>
      <c r="D56" s="7">
        <v>5</v>
      </c>
      <c r="E56" s="7" t="str">
        <f t="shared" ref="E56:E63" si="4">IF(C56&gt;=4,"Established",IF(C56&gt;=3,"Needs Work","Risk Area"))</f>
        <v>Risk Area</v>
      </c>
    </row>
    <row r="57" ht="20" customHeight="1" spans="1:5">
      <c r="A57" s="11">
        <v>34</v>
      </c>
      <c r="B57" s="13" t="s">
        <v>47</v>
      </c>
      <c r="C57" s="34"/>
      <c r="D57" s="11">
        <v>5</v>
      </c>
      <c r="E57" s="11" t="str">
        <f t="shared" si="4"/>
        <v>Risk Area</v>
      </c>
    </row>
    <row r="58" ht="20" customHeight="1" spans="1:5">
      <c r="A58" s="7">
        <v>35</v>
      </c>
      <c r="B58" s="9" t="s">
        <v>48</v>
      </c>
      <c r="C58" s="33"/>
      <c r="D58" s="7">
        <v>5</v>
      </c>
      <c r="E58" s="7" t="str">
        <f t="shared" si="4"/>
        <v>Risk Area</v>
      </c>
    </row>
    <row r="59" ht="20" customHeight="1" spans="1:5">
      <c r="A59" s="11">
        <v>36</v>
      </c>
      <c r="B59" s="13" t="s">
        <v>49</v>
      </c>
      <c r="C59" s="34"/>
      <c r="D59" s="11">
        <v>5</v>
      </c>
      <c r="E59" s="11" t="str">
        <f t="shared" si="4"/>
        <v>Risk Area</v>
      </c>
    </row>
    <row r="60" ht="20" customHeight="1" spans="1:5">
      <c r="A60" s="7">
        <v>37</v>
      </c>
      <c r="B60" s="9" t="s">
        <v>50</v>
      </c>
      <c r="C60" s="33"/>
      <c r="D60" s="7">
        <v>5</v>
      </c>
      <c r="E60" s="7" t="str">
        <f t="shared" si="4"/>
        <v>Risk Area</v>
      </c>
    </row>
    <row r="61" ht="20" customHeight="1" spans="1:5">
      <c r="A61" s="11">
        <v>38</v>
      </c>
      <c r="B61" s="13" t="s">
        <v>51</v>
      </c>
      <c r="C61" s="34"/>
      <c r="D61" s="11">
        <v>5</v>
      </c>
      <c r="E61" s="11" t="str">
        <f t="shared" si="4"/>
        <v>Risk Area</v>
      </c>
    </row>
    <row r="62" ht="20" customHeight="1" spans="1:5">
      <c r="A62" s="7">
        <v>39</v>
      </c>
      <c r="B62" s="9" t="s">
        <v>52</v>
      </c>
      <c r="C62" s="33"/>
      <c r="D62" s="7">
        <v>5</v>
      </c>
      <c r="E62" s="7" t="str">
        <f t="shared" si="4"/>
        <v>Risk Area</v>
      </c>
    </row>
    <row r="63" ht="20" customHeight="1" spans="1:5">
      <c r="A63" s="11">
        <v>40</v>
      </c>
      <c r="B63" s="13" t="s">
        <v>53</v>
      </c>
      <c r="C63" s="34"/>
      <c r="D63" s="11">
        <v>5</v>
      </c>
      <c r="E63" s="11" t="str">
        <f t="shared" si="4"/>
        <v>Risk Area</v>
      </c>
    </row>
    <row r="64" ht="22" customHeight="1" spans="1:5">
      <c r="A64" s="35"/>
      <c r="B64" s="36" t="s">
        <v>17</v>
      </c>
      <c r="C64" s="37">
        <f>SUM(C56:C63)</f>
        <v>0</v>
      </c>
      <c r="D64" s="37">
        <f>SUM(D56:D63)</f>
        <v>40</v>
      </c>
      <c r="E64" s="38">
        <f>C64/D64</f>
        <v>0</v>
      </c>
    </row>
    <row r="65" ht="15.75"/>
    <row r="66" ht="24" customHeight="1" spans="1:5">
      <c r="A66" s="32" t="s">
        <v>54</v>
      </c>
    </row>
    <row r="67" ht="20" customHeight="1" spans="1:5">
      <c r="A67" s="4" t="s">
        <v>4</v>
      </c>
      <c r="B67" s="16" t="s">
        <v>5</v>
      </c>
      <c r="C67" s="4" t="s">
        <v>6</v>
      </c>
      <c r="D67" s="4" t="s">
        <v>7</v>
      </c>
      <c r="E67" s="16" t="s">
        <v>8</v>
      </c>
    </row>
    <row r="68" ht="20" customHeight="1" spans="1:5">
      <c r="A68" s="7">
        <v>41</v>
      </c>
      <c r="B68" s="9" t="s">
        <v>55</v>
      </c>
      <c r="C68" s="33"/>
      <c r="D68" s="7">
        <v>5</v>
      </c>
      <c r="E68" s="7" t="str">
        <f t="shared" ref="E68:E75" si="5">IF(C68&gt;=4,"Established",IF(C68&gt;=3,"Needs Work","Risk Area"))</f>
        <v>Risk Area</v>
      </c>
    </row>
    <row r="69" ht="20" customHeight="1" spans="1:5">
      <c r="A69" s="11">
        <v>42</v>
      </c>
      <c r="B69" s="13" t="s">
        <v>56</v>
      </c>
      <c r="C69" s="34"/>
      <c r="D69" s="11">
        <v>5</v>
      </c>
      <c r="E69" s="11" t="str">
        <f t="shared" si="5"/>
        <v>Risk Area</v>
      </c>
    </row>
    <row r="70" ht="20" customHeight="1" spans="1:5">
      <c r="A70" s="7">
        <v>43</v>
      </c>
      <c r="B70" s="9" t="s">
        <v>57</v>
      </c>
      <c r="C70" s="33"/>
      <c r="D70" s="7">
        <v>5</v>
      </c>
      <c r="E70" s="7" t="str">
        <f t="shared" si="5"/>
        <v>Risk Area</v>
      </c>
    </row>
    <row r="71" ht="20" customHeight="1" spans="1:5">
      <c r="A71" s="11">
        <v>44</v>
      </c>
      <c r="B71" s="13" t="s">
        <v>58</v>
      </c>
      <c r="C71" s="34"/>
      <c r="D71" s="11">
        <v>5</v>
      </c>
      <c r="E71" s="11" t="str">
        <f t="shared" si="5"/>
        <v>Risk Area</v>
      </c>
    </row>
    <row r="72" ht="20" customHeight="1" spans="1:5">
      <c r="A72" s="7">
        <v>45</v>
      </c>
      <c r="B72" s="9" t="s">
        <v>59</v>
      </c>
      <c r="C72" s="33"/>
      <c r="D72" s="7">
        <v>5</v>
      </c>
      <c r="E72" s="7" t="str">
        <f t="shared" si="5"/>
        <v>Risk Area</v>
      </c>
    </row>
    <row r="73" ht="20" customHeight="1" spans="1:5">
      <c r="A73" s="11">
        <v>46</v>
      </c>
      <c r="B73" s="13" t="s">
        <v>60</v>
      </c>
      <c r="C73" s="34"/>
      <c r="D73" s="11">
        <v>5</v>
      </c>
      <c r="E73" s="11" t="str">
        <f t="shared" si="5"/>
        <v>Risk Area</v>
      </c>
    </row>
    <row r="74" ht="20" customHeight="1" spans="1:5">
      <c r="A74" s="7">
        <v>47</v>
      </c>
      <c r="B74" s="9" t="s">
        <v>61</v>
      </c>
      <c r="C74" s="33"/>
      <c r="D74" s="7">
        <v>5</v>
      </c>
      <c r="E74" s="7" t="str">
        <f t="shared" si="5"/>
        <v>Risk Area</v>
      </c>
    </row>
    <row r="75" ht="20" customHeight="1" spans="1:5">
      <c r="A75" s="11">
        <v>48</v>
      </c>
      <c r="B75" s="13" t="s">
        <v>62</v>
      </c>
      <c r="C75" s="34"/>
      <c r="D75" s="11">
        <v>5</v>
      </c>
      <c r="E75" s="11" t="str">
        <f t="shared" si="5"/>
        <v>Risk Area</v>
      </c>
    </row>
    <row r="76" ht="22" customHeight="1" spans="1:5">
      <c r="A76" s="35"/>
      <c r="B76" s="36" t="s">
        <v>17</v>
      </c>
      <c r="C76" s="37">
        <f>SUM(C68:C75)</f>
        <v>0</v>
      </c>
      <c r="D76" s="37">
        <f>SUM(D68:D75)</f>
        <v>40</v>
      </c>
      <c r="E76" s="38">
        <f>C76/D76</f>
        <v>0</v>
      </c>
    </row>
    <row r="77" ht="15.75"/>
    <row r="78" ht="24" customHeight="1" spans="1:5">
      <c r="A78" s="32" t="s">
        <v>63</v>
      </c>
    </row>
    <row r="79" ht="20" customHeight="1" spans="1:5">
      <c r="A79" s="4" t="s">
        <v>4</v>
      </c>
      <c r="B79" s="16" t="s">
        <v>5</v>
      </c>
      <c r="C79" s="4" t="s">
        <v>6</v>
      </c>
      <c r="D79" s="4" t="s">
        <v>7</v>
      </c>
      <c r="E79" s="16" t="s">
        <v>8</v>
      </c>
    </row>
    <row r="80" ht="20" customHeight="1" spans="1:5">
      <c r="A80" s="7">
        <v>49</v>
      </c>
      <c r="B80" s="9" t="s">
        <v>64</v>
      </c>
      <c r="C80" s="33"/>
      <c r="D80" s="7">
        <v>5</v>
      </c>
      <c r="E80" s="7" t="str">
        <f t="shared" ref="E80:E87" si="6">IF(C80&gt;=4,"Established",IF(C80&gt;=3,"Needs Work","Risk Area"))</f>
        <v>Risk Area</v>
      </c>
    </row>
    <row r="81" ht="20" customHeight="1" spans="1:5">
      <c r="A81" s="11">
        <v>50</v>
      </c>
      <c r="B81" s="13" t="s">
        <v>65</v>
      </c>
      <c r="C81" s="34"/>
      <c r="D81" s="11">
        <v>5</v>
      </c>
      <c r="E81" s="11" t="str">
        <f t="shared" si="6"/>
        <v>Risk Area</v>
      </c>
    </row>
    <row r="82" ht="20" customHeight="1" spans="1:5">
      <c r="A82" s="7">
        <v>51</v>
      </c>
      <c r="B82" s="9" t="s">
        <v>66</v>
      </c>
      <c r="C82" s="33"/>
      <c r="D82" s="7">
        <v>5</v>
      </c>
      <c r="E82" s="7" t="str">
        <f t="shared" si="6"/>
        <v>Risk Area</v>
      </c>
    </row>
    <row r="83" ht="20" customHeight="1" spans="1:5">
      <c r="A83" s="11">
        <v>52</v>
      </c>
      <c r="B83" s="13" t="s">
        <v>67</v>
      </c>
      <c r="C83" s="34"/>
      <c r="D83" s="11">
        <v>5</v>
      </c>
      <c r="E83" s="11" t="str">
        <f t="shared" si="6"/>
        <v>Risk Area</v>
      </c>
    </row>
    <row r="84" ht="20" customHeight="1" spans="1:5">
      <c r="A84" s="7">
        <v>53</v>
      </c>
      <c r="B84" s="9" t="s">
        <v>68</v>
      </c>
      <c r="C84" s="33"/>
      <c r="D84" s="7">
        <v>5</v>
      </c>
      <c r="E84" s="7" t="str">
        <f t="shared" si="6"/>
        <v>Risk Area</v>
      </c>
    </row>
    <row r="85" ht="20" customHeight="1" spans="1:5">
      <c r="A85" s="11">
        <v>54</v>
      </c>
      <c r="B85" s="13" t="s">
        <v>69</v>
      </c>
      <c r="C85" s="34"/>
      <c r="D85" s="11">
        <v>5</v>
      </c>
      <c r="E85" s="11" t="str">
        <f t="shared" si="6"/>
        <v>Risk Area</v>
      </c>
    </row>
    <row r="86" ht="20" customHeight="1" spans="1:5">
      <c r="A86" s="7">
        <v>55</v>
      </c>
      <c r="B86" s="9" t="s">
        <v>70</v>
      </c>
      <c r="C86" s="33"/>
      <c r="D86" s="7">
        <v>5</v>
      </c>
      <c r="E86" s="7" t="str">
        <f t="shared" si="6"/>
        <v>Risk Area</v>
      </c>
    </row>
    <row r="87" ht="20" customHeight="1" spans="1:5">
      <c r="A87" s="11">
        <v>56</v>
      </c>
      <c r="B87" s="13" t="s">
        <v>71</v>
      </c>
      <c r="C87" s="34"/>
      <c r="D87" s="11">
        <v>5</v>
      </c>
      <c r="E87" s="11" t="str">
        <f t="shared" si="6"/>
        <v>Risk Area</v>
      </c>
    </row>
    <row r="88" ht="22" customHeight="1" spans="1:5">
      <c r="A88" s="35"/>
      <c r="B88" s="36" t="s">
        <v>17</v>
      </c>
      <c r="C88" s="37">
        <f>SUM(C80:C87)</f>
        <v>0</v>
      </c>
      <c r="D88" s="37">
        <f>SUM(D80:D87)</f>
        <v>40</v>
      </c>
      <c r="E88" s="38">
        <f>C88/D88</f>
        <v>0</v>
      </c>
    </row>
    <row r="89" ht="15.75"/>
    <row r="90" ht="24" customHeight="1" spans="1:5">
      <c r="A90" s="32" t="s">
        <v>72</v>
      </c>
    </row>
    <row r="91" ht="20" customHeight="1" spans="1:5">
      <c r="A91" s="4" t="s">
        <v>4</v>
      </c>
      <c r="B91" s="16" t="s">
        <v>5</v>
      </c>
      <c r="C91" s="4" t="s">
        <v>6</v>
      </c>
      <c r="D91" s="4" t="s">
        <v>7</v>
      </c>
      <c r="E91" s="16" t="s">
        <v>8</v>
      </c>
    </row>
    <row r="92" ht="20" customHeight="1" spans="1:5">
      <c r="A92" s="7">
        <v>57</v>
      </c>
      <c r="B92" s="9" t="s">
        <v>73</v>
      </c>
      <c r="C92" s="33"/>
      <c r="D92" s="7">
        <v>5</v>
      </c>
      <c r="E92" s="7" t="str">
        <f t="shared" ref="E92:E99" si="7">IF(C92&gt;=4,"Established",IF(C92&gt;=3,"Needs Work","Risk Area"))</f>
        <v>Risk Area</v>
      </c>
    </row>
    <row r="93" ht="20" customHeight="1" spans="1:5">
      <c r="A93" s="11">
        <v>58</v>
      </c>
      <c r="B93" s="13" t="s">
        <v>74</v>
      </c>
      <c r="C93" s="34"/>
      <c r="D93" s="11">
        <v>5</v>
      </c>
      <c r="E93" s="11" t="str">
        <f t="shared" si="7"/>
        <v>Risk Area</v>
      </c>
    </row>
    <row r="94" ht="20" customHeight="1" spans="1:5">
      <c r="A94" s="7">
        <v>59</v>
      </c>
      <c r="B94" s="9" t="s">
        <v>75</v>
      </c>
      <c r="C94" s="33"/>
      <c r="D94" s="7">
        <v>5</v>
      </c>
      <c r="E94" s="7" t="str">
        <f t="shared" si="7"/>
        <v>Risk Area</v>
      </c>
    </row>
    <row r="95" ht="20" customHeight="1" spans="1:5">
      <c r="A95" s="11">
        <v>60</v>
      </c>
      <c r="B95" s="13" t="s">
        <v>76</v>
      </c>
      <c r="C95" s="34"/>
      <c r="D95" s="11">
        <v>5</v>
      </c>
      <c r="E95" s="11" t="str">
        <f t="shared" si="7"/>
        <v>Risk Area</v>
      </c>
    </row>
    <row r="96" ht="20" customHeight="1" spans="1:5">
      <c r="A96" s="7">
        <v>61</v>
      </c>
      <c r="B96" s="9" t="s">
        <v>77</v>
      </c>
      <c r="C96" s="33"/>
      <c r="D96" s="7">
        <v>5</v>
      </c>
      <c r="E96" s="7" t="str">
        <f t="shared" si="7"/>
        <v>Risk Area</v>
      </c>
    </row>
    <row r="97" ht="20" customHeight="1" spans="1:5">
      <c r="A97" s="11">
        <v>62</v>
      </c>
      <c r="B97" s="13" t="s">
        <v>78</v>
      </c>
      <c r="C97" s="34"/>
      <c r="D97" s="11">
        <v>5</v>
      </c>
      <c r="E97" s="11" t="str">
        <f t="shared" si="7"/>
        <v>Risk Area</v>
      </c>
    </row>
    <row r="98" ht="20" customHeight="1" spans="1:5">
      <c r="A98" s="7">
        <v>63</v>
      </c>
      <c r="B98" s="9" t="s">
        <v>79</v>
      </c>
      <c r="C98" s="33"/>
      <c r="D98" s="7">
        <v>5</v>
      </c>
      <c r="E98" s="7" t="str">
        <f t="shared" si="7"/>
        <v>Risk Area</v>
      </c>
    </row>
    <row r="99" ht="20" customHeight="1" spans="1:5">
      <c r="A99" s="11">
        <v>64</v>
      </c>
      <c r="B99" s="13" t="s">
        <v>80</v>
      </c>
      <c r="C99" s="34"/>
      <c r="D99" s="11">
        <v>5</v>
      </c>
      <c r="E99" s="11" t="str">
        <f t="shared" si="7"/>
        <v>Risk Area</v>
      </c>
    </row>
    <row r="100" ht="22" customHeight="1" spans="1:5">
      <c r="A100" s="35"/>
      <c r="B100" s="36" t="s">
        <v>17</v>
      </c>
      <c r="C100" s="37">
        <f>SUM(C92:C99)</f>
        <v>0</v>
      </c>
      <c r="D100" s="37">
        <f>SUM(D92:D99)</f>
        <v>40</v>
      </c>
      <c r="E100" s="38">
        <f>C100/D100</f>
        <v>0</v>
      </c>
    </row>
    <row r="101" ht="15.75"/>
    <row r="102" ht="16.5" spans="1:5">
      <c r="A102" s="39" t="s">
        <v>81</v>
      </c>
      <c r="B102" s="40"/>
      <c r="C102" s="41">
        <f>+C16+C28+C40+C52+C64+C76+C88+C100</f>
        <v>0</v>
      </c>
      <c r="D102" s="41">
        <f>+D16+D28+D40+D52+D64+D76+D88+D100</f>
        <v>320</v>
      </c>
      <c r="E102" s="42">
        <f>C102/D102</f>
        <v>0</v>
      </c>
    </row>
    <row r="103" ht="15.75"/>
  </sheetData>
  <mergeCells count="12">
    <mergeCell ref="A1:E1"/>
    <mergeCell ref="A2:E2"/>
    <mergeCell ref="A4:E4"/>
    <mergeCell ref="A6:E6"/>
    <mergeCell ref="A18:E18"/>
    <mergeCell ref="A30:E30"/>
    <mergeCell ref="A42:E42"/>
    <mergeCell ref="A54:E54"/>
    <mergeCell ref="A66:E66"/>
    <mergeCell ref="A78:E78"/>
    <mergeCell ref="A90:E90"/>
    <mergeCell ref="A102:B102"/>
  </mergeCells>
  <dataValidations count="1">
    <dataValidation type="whole" operator="between" errorTitle="Invalid Score" error="Invalid score! Enter a whole number from 1 to 5." sqref="C7:C200">
      <formula1>1</formula1>
      <formula2>5</formula2>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
  <sheetViews>
    <sheetView tabSelected="1" workbookViewId="0">
      <selection activeCell="A1" sqref="A1:G1"/>
    </sheetView>
  </sheetViews>
  <sheetFormatPr defaultColWidth="9" defaultRowHeight="15"/>
  <cols>
    <col min="1" max="1" width="12" customWidth="1"/>
    <col min="2" max="2" width="40" customWidth="1"/>
    <col min="3" max="4" width="10" customWidth="1"/>
    <col min="5" max="5" width="14" customWidth="1"/>
    <col min="6" max="6" width="20" customWidth="1"/>
    <col min="7" max="7" width="4" customWidth="1"/>
    <col min="8" max="8" width="14" customWidth="1"/>
    <col min="9" max="9" width="22" customWidth="1"/>
    <col min="10" max="10" width="45" customWidth="1"/>
  </cols>
  <sheetData>
    <row r="1" ht="35" customHeight="1" spans="1:10">
      <c r="A1" s="1" t="s">
        <v>82</v>
      </c>
    </row>
    <row r="2" ht="20" customHeight="1" spans="1:10">
      <c r="A2" s="21" t="s">
        <v>83</v>
      </c>
    </row>
    <row r="4" ht="18" customHeight="1" spans="1:10">
      <c r="B4" s="22" t="s">
        <v>84</v>
      </c>
      <c r="C4" s="6"/>
      <c r="D4" s="22" t="s">
        <v>85</v>
      </c>
      <c r="E4" s="6"/>
      <c r="F4" s="22" t="s">
        <v>86</v>
      </c>
      <c r="G4" s="6"/>
    </row>
    <row r="5" ht="25" customHeight="1" spans="1:10">
      <c r="B5" s="23">
        <f>'Compliance Readiness Checklist'!C102</f>
        <v>0</v>
      </c>
      <c r="C5" s="6"/>
      <c r="D5" s="24" t="str">
        <f>IF(B5&gt;=256,"Strong Readiness",IF(B5&gt;=192,"Developing Readiness",IF(B5&gt;=128,"Needs Attention","High Exposure")))</f>
        <v>High Exposure</v>
      </c>
      <c r="E5" s="6"/>
      <c r="F5" s="25">
        <f>B5/320</f>
        <v>0</v>
      </c>
      <c r="G5" s="6"/>
    </row>
    <row r="7" ht="18.75" spans="1:10">
      <c r="A7" s="26" t="s">
        <v>87</v>
      </c>
      <c r="H7" s="26" t="s">
        <v>88</v>
      </c>
    </row>
    <row r="8" ht="22" customHeight="1" spans="1:10">
      <c r="A8" s="27" t="s">
        <v>89</v>
      </c>
      <c r="B8" s="28" t="s">
        <v>90</v>
      </c>
      <c r="C8" s="27" t="s">
        <v>91</v>
      </c>
      <c r="D8" s="27" t="s">
        <v>7</v>
      </c>
      <c r="E8" s="27" t="s">
        <v>92</v>
      </c>
      <c r="F8" s="27" t="s">
        <v>93</v>
      </c>
      <c r="H8" s="27" t="s">
        <v>94</v>
      </c>
      <c r="I8" s="27" t="s">
        <v>95</v>
      </c>
      <c r="J8" s="28" t="s">
        <v>96</v>
      </c>
    </row>
    <row r="9" ht="32" customHeight="1" spans="1:10">
      <c r="A9" s="7" t="s">
        <v>97</v>
      </c>
      <c r="B9" s="9" t="s">
        <v>98</v>
      </c>
      <c r="C9" s="7">
        <f>'Compliance Readiness Checklist'!C16</f>
        <v>0</v>
      </c>
      <c r="D9" s="7">
        <f>'Compliance Readiness Checklist'!D16</f>
        <v>40</v>
      </c>
      <c r="E9" s="29">
        <f t="shared" ref="E9:E16" si="0">C9/D9</f>
        <v>0</v>
      </c>
      <c r="F9" s="7" t="str">
        <f t="shared" ref="F9:F16" si="1">IF(E9&gt;=0.8,"Strong Readiness",IF(E9&gt;=0.6,"Developing Readiness",IF(E9&gt;=0.4,"Needs Attention","High Exposure")))</f>
        <v>High Exposure</v>
      </c>
      <c r="H9" s="19" t="s">
        <v>99</v>
      </c>
      <c r="I9" s="19" t="s">
        <v>100</v>
      </c>
      <c r="J9" s="19" t="s">
        <v>101</v>
      </c>
    </row>
    <row r="10" ht="32" customHeight="1" spans="1:10">
      <c r="A10" s="11" t="s">
        <v>102</v>
      </c>
      <c r="B10" s="13" t="s">
        <v>103</v>
      </c>
      <c r="C10" s="11">
        <f>'Compliance Readiness Checklist'!C28</f>
        <v>0</v>
      </c>
      <c r="D10" s="11">
        <f>'Compliance Readiness Checklist'!D28</f>
        <v>40</v>
      </c>
      <c r="E10" s="30">
        <f t="shared" si="0"/>
        <v>0</v>
      </c>
      <c r="F10" s="11" t="str">
        <f t="shared" si="1"/>
        <v>High Exposure</v>
      </c>
      <c r="H10" s="19" t="s">
        <v>104</v>
      </c>
      <c r="I10" s="19" t="s">
        <v>105</v>
      </c>
      <c r="J10" s="19" t="s">
        <v>106</v>
      </c>
    </row>
    <row r="11" ht="32" customHeight="1" spans="1:10">
      <c r="A11" s="7" t="s">
        <v>107</v>
      </c>
      <c r="B11" s="9" t="s">
        <v>108</v>
      </c>
      <c r="C11" s="7">
        <f>'Compliance Readiness Checklist'!C40</f>
        <v>0</v>
      </c>
      <c r="D11" s="7">
        <f>'Compliance Readiness Checklist'!D40</f>
        <v>40</v>
      </c>
      <c r="E11" s="29">
        <f t="shared" si="0"/>
        <v>0</v>
      </c>
      <c r="F11" s="7" t="str">
        <f t="shared" si="1"/>
        <v>High Exposure</v>
      </c>
      <c r="H11" s="19" t="s">
        <v>109</v>
      </c>
      <c r="I11" s="19" t="s">
        <v>110</v>
      </c>
      <c r="J11" s="19" t="s">
        <v>111</v>
      </c>
    </row>
    <row r="12" ht="32" customHeight="1" spans="1:10">
      <c r="A12" s="11" t="s">
        <v>112</v>
      </c>
      <c r="B12" s="13" t="s">
        <v>113</v>
      </c>
      <c r="C12" s="11">
        <f>'Compliance Readiness Checklist'!C52</f>
        <v>0</v>
      </c>
      <c r="D12" s="11">
        <f>'Compliance Readiness Checklist'!D52</f>
        <v>40</v>
      </c>
      <c r="E12" s="30">
        <f t="shared" si="0"/>
        <v>0</v>
      </c>
      <c r="F12" s="11" t="str">
        <f t="shared" si="1"/>
        <v>High Exposure</v>
      </c>
      <c r="H12" s="19" t="s">
        <v>114</v>
      </c>
      <c r="I12" s="19" t="s">
        <v>115</v>
      </c>
      <c r="J12" s="19" t="s">
        <v>116</v>
      </c>
    </row>
    <row r="13" ht="20" customHeight="1" spans="1:10">
      <c r="A13" s="7" t="s">
        <v>117</v>
      </c>
      <c r="B13" s="9" t="s">
        <v>118</v>
      </c>
      <c r="C13" s="7">
        <f>'Compliance Readiness Checklist'!C64</f>
        <v>0</v>
      </c>
      <c r="D13" s="7">
        <f>'Compliance Readiness Checklist'!D64</f>
        <v>40</v>
      </c>
      <c r="E13" s="29">
        <f t="shared" si="0"/>
        <v>0</v>
      </c>
      <c r="F13" s="7" t="str">
        <f t="shared" si="1"/>
        <v>High Exposure</v>
      </c>
    </row>
    <row r="14" ht="20" customHeight="1" spans="1:10">
      <c r="A14" s="11" t="s">
        <v>119</v>
      </c>
      <c r="B14" s="13" t="s">
        <v>120</v>
      </c>
      <c r="C14" s="11">
        <f>'Compliance Readiness Checklist'!C76</f>
        <v>0</v>
      </c>
      <c r="D14" s="11">
        <f>'Compliance Readiness Checklist'!D76</f>
        <v>40</v>
      </c>
      <c r="E14" s="30">
        <f t="shared" si="0"/>
        <v>0</v>
      </c>
      <c r="F14" s="11" t="str">
        <f t="shared" si="1"/>
        <v>High Exposure</v>
      </c>
    </row>
    <row r="15" ht="20" customHeight="1" spans="1:10">
      <c r="A15" s="7" t="s">
        <v>121</v>
      </c>
      <c r="B15" s="9" t="s">
        <v>122</v>
      </c>
      <c r="C15" s="7">
        <f>'Compliance Readiness Checklist'!C88</f>
        <v>0</v>
      </c>
      <c r="D15" s="7">
        <f>'Compliance Readiness Checklist'!D88</f>
        <v>40</v>
      </c>
      <c r="E15" s="29">
        <f t="shared" si="0"/>
        <v>0</v>
      </c>
      <c r="F15" s="7" t="str">
        <f t="shared" si="1"/>
        <v>High Exposure</v>
      </c>
    </row>
    <row r="16" ht="20" customHeight="1" spans="1:10">
      <c r="A16" s="11" t="s">
        <v>123</v>
      </c>
      <c r="B16" s="13" t="s">
        <v>124</v>
      </c>
      <c r="C16" s="11">
        <f>'Compliance Readiness Checklist'!C100</f>
        <v>0</v>
      </c>
      <c r="D16" s="11">
        <f>'Compliance Readiness Checklist'!D100</f>
        <v>40</v>
      </c>
      <c r="E16" s="30">
        <f t="shared" si="0"/>
        <v>0</v>
      </c>
      <c r="F16" s="11" t="str">
        <f t="shared" si="1"/>
        <v>High Exposure</v>
      </c>
    </row>
  </sheetData>
  <mergeCells count="8">
    <mergeCell ref="A1:G1"/>
    <mergeCell ref="A2:G2"/>
    <mergeCell ref="B4:C4"/>
    <mergeCell ref="D4:E4"/>
    <mergeCell ref="F4:G4"/>
    <mergeCell ref="B5:C5"/>
    <mergeCell ref="D5:E5"/>
    <mergeCell ref="F5:G5"/>
  </mergeCell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workbookViewId="0">
      <selection activeCell="A1" sqref="A1:H1"/>
    </sheetView>
  </sheetViews>
  <sheetFormatPr defaultColWidth="9" defaultRowHeight="15" outlineLevelCol="7"/>
  <cols>
    <col min="1" max="4" width="25" customWidth="1"/>
    <col min="5" max="5" width="30" customWidth="1"/>
    <col min="6" max="6" width="18" customWidth="1"/>
    <col min="7" max="7" width="14" customWidth="1"/>
    <col min="8" max="8" width="22" customWidth="1"/>
  </cols>
  <sheetData>
    <row r="1" ht="35" customHeight="1" spans="1:8">
      <c r="A1" s="1" t="s">
        <v>125</v>
      </c>
    </row>
    <row r="3" ht="24" customHeight="1" spans="1:8">
      <c r="A3" s="3" t="s">
        <v>126</v>
      </c>
    </row>
    <row r="4" ht="20" customHeight="1" spans="1:8">
      <c r="A4" s="4" t="s">
        <v>4</v>
      </c>
      <c r="B4" s="16" t="s">
        <v>127</v>
      </c>
      <c r="C4" s="16" t="s">
        <v>128</v>
      </c>
      <c r="D4" s="16" t="s">
        <v>129</v>
      </c>
      <c r="E4" s="5"/>
      <c r="F4" s="5"/>
      <c r="G4" s="5"/>
      <c r="H4" s="5"/>
    </row>
    <row r="5" ht="28" customHeight="1" spans="1:8">
      <c r="A5" s="11">
        <v>1</v>
      </c>
      <c r="B5" s="13" t="s">
        <v>130</v>
      </c>
      <c r="C5" s="13" t="s">
        <v>131</v>
      </c>
      <c r="D5" s="17" t="s">
        <v>132</v>
      </c>
      <c r="E5" s="14"/>
      <c r="F5" s="14"/>
      <c r="G5" s="14"/>
      <c r="H5" s="14"/>
    </row>
    <row r="6" ht="28" customHeight="1" spans="1:8">
      <c r="A6" s="7">
        <v>2</v>
      </c>
      <c r="B6" s="9" t="s">
        <v>133</v>
      </c>
      <c r="C6" s="9" t="s">
        <v>134</v>
      </c>
      <c r="D6" s="18" t="s">
        <v>132</v>
      </c>
      <c r="E6" s="10"/>
      <c r="F6" s="10"/>
      <c r="G6" s="10"/>
      <c r="H6" s="10"/>
    </row>
    <row r="7" ht="28" customHeight="1" spans="1:8">
      <c r="A7" s="11">
        <v>3</v>
      </c>
      <c r="B7" s="13" t="s">
        <v>135</v>
      </c>
      <c r="C7" s="13" t="s">
        <v>136</v>
      </c>
      <c r="D7" s="17" t="s">
        <v>132</v>
      </c>
      <c r="E7" s="14"/>
      <c r="F7" s="14"/>
      <c r="G7" s="14"/>
      <c r="H7" s="14"/>
    </row>
    <row r="8" ht="28" customHeight="1" spans="1:8">
      <c r="A8" s="7">
        <v>4</v>
      </c>
      <c r="B8" s="9" t="s">
        <v>137</v>
      </c>
      <c r="C8" s="9" t="s">
        <v>138</v>
      </c>
      <c r="D8" s="18" t="s">
        <v>132</v>
      </c>
      <c r="E8" s="10"/>
      <c r="F8" s="10"/>
      <c r="G8" s="10"/>
      <c r="H8" s="10"/>
    </row>
    <row r="9" ht="28" customHeight="1" spans="1:8">
      <c r="A9" s="11">
        <v>5</v>
      </c>
      <c r="B9" s="13" t="s">
        <v>139</v>
      </c>
      <c r="C9" s="13" t="s">
        <v>140</v>
      </c>
      <c r="D9" s="17" t="s">
        <v>132</v>
      </c>
      <c r="E9" s="14"/>
      <c r="F9" s="14"/>
      <c r="G9" s="14"/>
      <c r="H9" s="14"/>
    </row>
    <row r="12" ht="24" customHeight="1" spans="1:8">
      <c r="A12" s="3" t="s">
        <v>141</v>
      </c>
    </row>
    <row r="13" ht="22" customHeight="1" spans="1:8">
      <c r="A13" s="16" t="s">
        <v>142</v>
      </c>
      <c r="B13" s="16" t="s">
        <v>143</v>
      </c>
      <c r="C13" s="16" t="s">
        <v>144</v>
      </c>
      <c r="D13" s="16" t="s">
        <v>145</v>
      </c>
      <c r="E13" s="16" t="s">
        <v>146</v>
      </c>
      <c r="F13" s="4" t="s">
        <v>147</v>
      </c>
      <c r="G13" s="4" t="s">
        <v>148</v>
      </c>
      <c r="H13" s="16" t="s">
        <v>149</v>
      </c>
    </row>
    <row r="14" ht="30" customHeight="1" spans="1:8">
      <c r="A14" s="19" t="s">
        <v>150</v>
      </c>
      <c r="B14" s="19" t="s">
        <v>151</v>
      </c>
      <c r="C14" s="19" t="s">
        <v>152</v>
      </c>
      <c r="D14" s="19" t="s">
        <v>153</v>
      </c>
      <c r="E14" s="19" t="s">
        <v>154</v>
      </c>
      <c r="F14" s="7" t="s">
        <v>155</v>
      </c>
      <c r="G14" s="7" t="s">
        <v>156</v>
      </c>
      <c r="H14" s="19" t="s">
        <v>157</v>
      </c>
    </row>
    <row r="15" ht="30" customHeight="1" spans="1:8">
      <c r="A15" s="20" t="s">
        <v>158</v>
      </c>
      <c r="B15" s="20" t="s">
        <v>159</v>
      </c>
      <c r="C15" s="20" t="s">
        <v>160</v>
      </c>
      <c r="D15" s="20" t="s">
        <v>161</v>
      </c>
      <c r="E15" s="20" t="s">
        <v>162</v>
      </c>
      <c r="F15" s="11" t="s">
        <v>163</v>
      </c>
      <c r="G15" s="11" t="s">
        <v>164</v>
      </c>
      <c r="H15" s="20" t="s">
        <v>165</v>
      </c>
    </row>
    <row r="16" ht="30" customHeight="1" spans="1:8">
      <c r="A16" s="19" t="s">
        <v>166</v>
      </c>
      <c r="B16" s="19" t="s">
        <v>167</v>
      </c>
      <c r="C16" s="19" t="s">
        <v>168</v>
      </c>
      <c r="D16" s="19" t="s">
        <v>169</v>
      </c>
      <c r="E16" s="19" t="s">
        <v>170</v>
      </c>
      <c r="F16" s="7" t="s">
        <v>171</v>
      </c>
      <c r="G16" s="7" t="s">
        <v>156</v>
      </c>
      <c r="H16" s="19" t="s">
        <v>172</v>
      </c>
    </row>
    <row r="17" ht="30" customHeight="1" spans="1:8">
      <c r="A17" s="20" t="s">
        <v>173</v>
      </c>
      <c r="B17" s="20" t="s">
        <v>174</v>
      </c>
      <c r="C17" s="20" t="s">
        <v>175</v>
      </c>
      <c r="D17" s="20" t="s">
        <v>176</v>
      </c>
      <c r="E17" s="20" t="s">
        <v>177</v>
      </c>
      <c r="F17" s="11" t="s">
        <v>178</v>
      </c>
      <c r="G17" s="11" t="s">
        <v>164</v>
      </c>
      <c r="H17" s="20" t="s">
        <v>179</v>
      </c>
    </row>
  </sheetData>
  <mergeCells count="9">
    <mergeCell ref="A1:H1"/>
    <mergeCell ref="A3:H3"/>
    <mergeCell ref="D4:H4"/>
    <mergeCell ref="D5:H5"/>
    <mergeCell ref="D6:H6"/>
    <mergeCell ref="D7:H7"/>
    <mergeCell ref="D8:H8"/>
    <mergeCell ref="D9:H9"/>
    <mergeCell ref="A12:H1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workbookViewId="0">
      <selection activeCell="A1" sqref="A1:E1"/>
    </sheetView>
  </sheetViews>
  <sheetFormatPr defaultColWidth="9" defaultRowHeight="15" outlineLevelCol="4"/>
  <cols>
    <col min="1" max="1" width="6" customWidth="1"/>
    <col min="2" max="2" width="42" customWidth="1"/>
    <col min="3" max="5" width="30" customWidth="1"/>
  </cols>
  <sheetData>
    <row r="1" ht="35" customHeight="1" spans="1:5">
      <c r="A1" s="1" t="s">
        <v>180</v>
      </c>
    </row>
    <row r="3" spans="1:5">
      <c r="A3" s="2" t="s">
        <v>181</v>
      </c>
    </row>
    <row r="6" ht="24" customHeight="1" spans="1:5">
      <c r="A6" s="3" t="s">
        <v>182</v>
      </c>
    </row>
    <row r="7" ht="22" customHeight="1" spans="1:5">
      <c r="A7" s="4" t="s">
        <v>4</v>
      </c>
      <c r="B7" s="5" t="s">
        <v>183</v>
      </c>
      <c r="C7" s="5" t="s">
        <v>184</v>
      </c>
      <c r="D7" s="6"/>
      <c r="E7" s="6"/>
    </row>
    <row r="8" ht="25" customHeight="1" spans="1:5">
      <c r="A8" s="7">
        <v>1</v>
      </c>
      <c r="B8" s="8" t="s">
        <v>185</v>
      </c>
      <c r="C8" s="9" t="s">
        <v>186</v>
      </c>
      <c r="D8" s="10"/>
      <c r="E8" s="10"/>
    </row>
    <row r="9" ht="25" customHeight="1" spans="1:5">
      <c r="A9" s="11">
        <v>2</v>
      </c>
      <c r="B9" s="12" t="s">
        <v>187</v>
      </c>
      <c r="C9" s="13" t="s">
        <v>188</v>
      </c>
      <c r="D9" s="14"/>
      <c r="E9" s="14"/>
    </row>
    <row r="10" ht="25" customHeight="1" spans="1:5">
      <c r="A10" s="7">
        <v>3</v>
      </c>
      <c r="B10" s="8" t="s">
        <v>189</v>
      </c>
      <c r="C10" s="9" t="s">
        <v>190</v>
      </c>
      <c r="D10" s="10"/>
      <c r="E10" s="10"/>
    </row>
    <row r="11" ht="25" customHeight="1" spans="1:5">
      <c r="A11" s="11">
        <v>4</v>
      </c>
      <c r="B11" s="12" t="s">
        <v>191</v>
      </c>
      <c r="C11" s="13" t="s">
        <v>192</v>
      </c>
      <c r="D11" s="14"/>
      <c r="E11" s="14"/>
    </row>
    <row r="12" ht="25" customHeight="1" spans="1:5">
      <c r="A12" s="7">
        <v>5</v>
      </c>
      <c r="B12" s="8" t="s">
        <v>193</v>
      </c>
      <c r="C12" s="9" t="s">
        <v>194</v>
      </c>
      <c r="D12" s="10"/>
      <c r="E12" s="10"/>
    </row>
    <row r="13" ht="25" customHeight="1" spans="1:5">
      <c r="A13" s="11">
        <v>6</v>
      </c>
      <c r="B13" s="12" t="s">
        <v>195</v>
      </c>
      <c r="C13" s="13" t="s">
        <v>196</v>
      </c>
      <c r="D13" s="14"/>
      <c r="E13" s="14"/>
    </row>
    <row r="14" ht="25" customHeight="1" spans="1:5">
      <c r="A14" s="7">
        <v>7</v>
      </c>
      <c r="B14" s="8" t="s">
        <v>197</v>
      </c>
      <c r="C14" s="9" t="s">
        <v>198</v>
      </c>
      <c r="D14" s="10"/>
      <c r="E14" s="10"/>
    </row>
    <row r="15" ht="25" customHeight="1" spans="1:5">
      <c r="A15" s="11">
        <v>8</v>
      </c>
      <c r="B15" s="12" t="s">
        <v>199</v>
      </c>
      <c r="C15" s="13" t="s">
        <v>200</v>
      </c>
      <c r="D15" s="14"/>
      <c r="E15" s="14"/>
    </row>
    <row r="16" ht="25" customHeight="1" spans="1:5">
      <c r="A16" s="7">
        <v>9</v>
      </c>
      <c r="B16" s="8" t="s">
        <v>201</v>
      </c>
      <c r="C16" s="9" t="s">
        <v>202</v>
      </c>
      <c r="D16" s="10"/>
      <c r="E16" s="10"/>
    </row>
    <row r="19" ht="15.75" spans="1:1">
      <c r="A19" s="15" t="s">
        <v>203</v>
      </c>
    </row>
  </sheetData>
  <mergeCells count="14">
    <mergeCell ref="A1:E1"/>
    <mergeCell ref="A6:E6"/>
    <mergeCell ref="C7:E7"/>
    <mergeCell ref="C8:E8"/>
    <mergeCell ref="C9:E9"/>
    <mergeCell ref="C10:E10"/>
    <mergeCell ref="C11:E11"/>
    <mergeCell ref="C12:E12"/>
    <mergeCell ref="C13:E13"/>
    <mergeCell ref="C14:E14"/>
    <mergeCell ref="C15:E15"/>
    <mergeCell ref="C16:E16"/>
    <mergeCell ref="A19:E19"/>
    <mergeCell ref="A3:E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Compliance Readiness Checklist</vt:lpstr>
      <vt:lpstr>Dashboard &amp; Report</vt:lpstr>
      <vt:lpstr>Action Roadmap</vt:lpstr>
      <vt:lpstr>FAS Perspective &amp; Support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advan</cp:lastModifiedBy>
  <dcterms:created xsi:type="dcterms:W3CDTF">2026-10-03T09:01:00Z</dcterms:created>
  <dcterms:modified xsi:type="dcterms:W3CDTF">2026-10-03T09:03:44Z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E5F816E073F74F6189A2B5C7AE10967B_12</vt:lpwstr>
  </property>
  <property fmtid="{D5CDD505-2E9C-101B-9397-08002B2CF9AE}" pid="3" name="KSOProductBuildVer">
    <vt:lpwstr>1033-12.1.0.28485</vt:lpwstr>
  </property>
  <property fmtid="{D5CDD505-2E9C-101B-9397-08002B2CF9AE}" pid="4" name="CalculationRule">
    <vt:i4>0</vt:i4>
  </property>
</Properties>
</file>